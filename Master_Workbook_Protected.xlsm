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ink/ink1.xml" ContentType="application/inkml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ink/ink2.xml" ContentType="application/inkml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ink/ink3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work\FINAL TEMP AND CALC FILE\Recieved Data templets\"/>
    </mc:Choice>
  </mc:AlternateContent>
  <xr:revisionPtr revIDLastSave="0" documentId="8_{AF8C33CD-660D-4092-9603-B2D3600B990E}" xr6:coauthVersionLast="47" xr6:coauthVersionMax="47" xr10:uidLastSave="{00000000-0000-0000-0000-000000000000}"/>
  <bookViews>
    <workbookView xWindow="-108" yWindow="-108" windowWidth="23256" windowHeight="12456" xr2:uid="{304CC820-322C-4C8E-B7BC-05C11E12AFFA}"/>
  </bookViews>
  <sheets>
    <sheet name="Guide" sheetId="5" r:id="rId1"/>
    <sheet name="data" sheetId="1" r:id="rId2"/>
    <sheet name="function" sheetId="2" r:id="rId3"/>
    <sheet name="master" sheetId="3" r:id="rId4"/>
    <sheet name="projection" sheetId="4" r:id="rId5"/>
  </sheets>
  <definedNames>
    <definedName name="ExternalData_1" localSheetId="1" hidden="1">data!$A$1:$G$81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" i="1" l="1"/>
  <c r="J37" i="1"/>
  <c r="K37" i="1"/>
  <c r="L37" i="1"/>
  <c r="M37" i="1"/>
  <c r="I37" i="1"/>
  <c r="E12" i="4"/>
  <c r="C15" i="4"/>
  <c r="E15" i="4" s="1"/>
  <c r="D20" i="4" l="1"/>
  <c r="I20" i="4"/>
  <c r="I11" i="4"/>
  <c r="I12" i="4"/>
  <c r="I15" i="4"/>
  <c r="I23" i="4"/>
  <c r="G25" i="4"/>
  <c r="C22" i="4"/>
  <c r="E22" i="4" s="1"/>
  <c r="I22" i="4" s="1"/>
  <c r="D43" i="2"/>
  <c r="E43" i="2"/>
  <c r="C43" i="2"/>
  <c r="E5" i="4" l="1"/>
  <c r="I5" i="4" s="1"/>
  <c r="C5" i="4"/>
  <c r="C2" i="2"/>
  <c r="C3" i="2" s="1"/>
  <c r="F116" i="3"/>
  <c r="G116" i="3" s="1"/>
  <c r="E24" i="4" s="1"/>
  <c r="I24" i="4" s="1"/>
  <c r="D111" i="3"/>
  <c r="C58" i="2"/>
  <c r="C56" i="2"/>
  <c r="C19" i="4" s="1"/>
  <c r="E19" i="4" s="1"/>
  <c r="I19" i="4" s="1"/>
  <c r="C53" i="2"/>
  <c r="C16" i="4" s="1"/>
  <c r="E16" i="4" s="1"/>
  <c r="I16" i="4" s="1"/>
  <c r="C50" i="2"/>
  <c r="C46" i="2"/>
  <c r="E21" i="4" s="1"/>
  <c r="I21" i="4" s="1"/>
  <c r="F42" i="2"/>
  <c r="G42" i="2"/>
  <c r="E42" i="2"/>
  <c r="D42" i="2"/>
  <c r="C42" i="2"/>
  <c r="D41" i="2"/>
  <c r="C41" i="2"/>
  <c r="E41" i="2"/>
  <c r="F41" i="2"/>
  <c r="G41" i="2"/>
  <c r="D29" i="2"/>
  <c r="E29" i="2"/>
  <c r="F29" i="2"/>
  <c r="G29" i="2"/>
  <c r="C29" i="2"/>
  <c r="N37" i="1" l="1"/>
  <c r="C33" i="2" s="1"/>
  <c r="C61" i="2"/>
  <c r="C65" i="2"/>
  <c r="C8" i="4"/>
  <c r="E8" i="4" s="1"/>
  <c r="I8" i="4" s="1"/>
  <c r="D28" i="2"/>
  <c r="E28" i="2"/>
  <c r="F28" i="2"/>
  <c r="G28" i="2"/>
  <c r="C28" i="2"/>
  <c r="D27" i="2"/>
  <c r="E27" i="2"/>
  <c r="F27" i="2"/>
  <c r="G27" i="2"/>
  <c r="C27" i="2"/>
  <c r="D26" i="2"/>
  <c r="E26" i="2"/>
  <c r="F26" i="2"/>
  <c r="G26" i="2"/>
  <c r="D25" i="2"/>
  <c r="E25" i="2"/>
  <c r="F25" i="2"/>
  <c r="G25" i="2"/>
  <c r="C25" i="2"/>
  <c r="C26" i="2"/>
  <c r="D22" i="2"/>
  <c r="E22" i="2"/>
  <c r="F22" i="2"/>
  <c r="G22" i="2"/>
  <c r="C22" i="2"/>
  <c r="D21" i="2"/>
  <c r="E21" i="2"/>
  <c r="F21" i="2"/>
  <c r="G21" i="2"/>
  <c r="C21" i="2"/>
  <c r="D17" i="2"/>
  <c r="E17" i="2"/>
  <c r="F17" i="2"/>
  <c r="G17" i="2"/>
  <c r="C17" i="2"/>
  <c r="D14" i="2"/>
  <c r="E14" i="2"/>
  <c r="F14" i="2"/>
  <c r="G14" i="2"/>
  <c r="C14" i="2"/>
  <c r="D13" i="2"/>
  <c r="E13" i="2"/>
  <c r="F13" i="2"/>
  <c r="G13" i="2"/>
  <c r="C13" i="2"/>
  <c r="C4" i="4" s="1"/>
  <c r="E4" i="4" s="1"/>
  <c r="I4" i="4" s="1"/>
  <c r="D10" i="2"/>
  <c r="E10" i="2"/>
  <c r="F10" i="2"/>
  <c r="G10" i="2"/>
  <c r="C10" i="2"/>
  <c r="D8" i="2"/>
  <c r="E8" i="2"/>
  <c r="F8" i="2"/>
  <c r="G8" i="2"/>
  <c r="C8" i="2"/>
  <c r="D9" i="2"/>
  <c r="E9" i="2"/>
  <c r="F9" i="2"/>
  <c r="G9" i="2"/>
  <c r="C9" i="2"/>
  <c r="D2" i="2"/>
  <c r="D3" i="2" s="1"/>
  <c r="E2" i="2"/>
  <c r="E3" i="2" s="1"/>
  <c r="F2" i="2"/>
  <c r="F3" i="2" s="1"/>
  <c r="G2" i="2"/>
  <c r="G3" i="2" s="1"/>
  <c r="D1" i="2"/>
  <c r="E1" i="2"/>
  <c r="F1" i="2"/>
  <c r="G1" i="2"/>
  <c r="C1" i="2"/>
  <c r="G32" i="2" l="1"/>
  <c r="F32" i="2"/>
  <c r="D32" i="2"/>
  <c r="G30" i="2"/>
  <c r="C45" i="2"/>
  <c r="C7" i="4"/>
  <c r="E7" i="4" s="1"/>
  <c r="F30" i="2"/>
  <c r="E30" i="2"/>
  <c r="D30" i="2"/>
  <c r="E32" i="2"/>
  <c r="C32" i="2"/>
  <c r="C36" i="2" s="1"/>
  <c r="E34" i="4" s="1"/>
  <c r="C30" i="2"/>
  <c r="E31" i="4" s="1"/>
  <c r="C44" i="2"/>
  <c r="C6" i="4" s="1"/>
  <c r="E6" i="4" s="1"/>
  <c r="I6" i="4" s="1"/>
  <c r="C37" i="2"/>
  <c r="E28" i="4"/>
  <c r="C64" i="2" l="1"/>
  <c r="E27" i="4" s="1"/>
  <c r="G27" i="4" s="1"/>
  <c r="G28" i="4" s="1"/>
  <c r="H28" i="4" s="1"/>
  <c r="B3" i="4"/>
  <c r="C3" i="4" s="1"/>
  <c r="E3" i="4" s="1"/>
  <c r="I3" i="4" s="1"/>
  <c r="I25" i="4" s="1"/>
  <c r="I7" i="4"/>
  <c r="C66" i="2" l="1"/>
  <c r="E29" i="4" s="1"/>
  <c r="G2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Anirudh Anand</author>
  </authors>
  <commentList>
    <comment ref="E11" authorId="0" shapeId="0" xr:uid="{F109AF65-A55A-4CD5-9B03-7B1872BACEB1}">
      <text>
        <r>
          <rPr>
            <b/>
            <sz val="9"/>
            <color indexed="81"/>
            <rFont val="Tahoma"/>
            <family val="2"/>
          </rPr>
          <t>Anirudh Anand:</t>
        </r>
        <r>
          <rPr>
            <sz val="9"/>
            <color indexed="81"/>
            <rFont val="Tahoma"/>
            <family val="2"/>
          </rPr>
          <t xml:space="preserve">
how to calculate the score 
</t>
        </r>
      </text>
    </comment>
    <comment ref="C20" authorId="0" shapeId="0" xr:uid="{A31A3864-86F0-457C-A4DE-1953B5672238}">
      <text>
        <r>
          <rPr>
            <b/>
            <sz val="9"/>
            <color indexed="81"/>
            <rFont val="Tahoma"/>
            <family val="2"/>
          </rPr>
          <t>Anirudh Anand:</t>
        </r>
        <r>
          <rPr>
            <sz val="9"/>
            <color indexed="81"/>
            <rFont val="Tahoma"/>
            <family val="2"/>
          </rPr>
          <t xml:space="preserve">
decided by survey</t>
        </r>
      </text>
    </comment>
    <comment ref="E20" authorId="0" shapeId="0" xr:uid="{30372D68-2FD4-49D9-8C40-C37E0224918B}">
      <text>
        <r>
          <rPr>
            <b/>
            <sz val="9"/>
            <color indexed="81"/>
            <rFont val="Tahoma"/>
            <family val="2"/>
          </rPr>
          <t>Anirudh Anand:</t>
        </r>
        <r>
          <rPr>
            <sz val="9"/>
            <color indexed="81"/>
            <rFont val="Tahoma"/>
            <family val="2"/>
          </rPr>
          <t xml:space="preserve">
where is the criteria.</t>
        </r>
      </text>
    </comment>
    <comment ref="E23" authorId="0" shapeId="0" xr:uid="{A370703A-92A1-4335-9C5A-55C801C93D16}">
      <text>
        <r>
          <rPr>
            <b/>
            <sz val="9"/>
            <color indexed="81"/>
            <rFont val="Tahoma"/>
            <family val="2"/>
          </rPr>
          <t>Anirudh Anand:</t>
        </r>
        <r>
          <rPr>
            <sz val="9"/>
            <color indexed="81"/>
            <rFont val="Tahoma"/>
            <family val="2"/>
          </rPr>
          <t xml:space="preserve">
how to get this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CF55E2-AEFE-4B32-989B-753F987A61A6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D8B33E4B-E4B4-4D9E-804B-E76B0CAEDBE1}" keepAlive="1" name="Query - pathaddress" description="Connection to the 'pathaddress' query in the workbook." type="5" refreshedVersion="7" background="1" saveData="1">
    <dbPr connection="Provider=Microsoft.Mashup.OleDb.1;Data Source=$Workbook$;Location=pathaddress;Extended Properties=&quot;&quot;" command="SELECT * FROM [pathaddress]"/>
  </connection>
  <connection id="3" xr16:uid="{0D3386D6-0646-4466-9B38-C6972FE5828F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50F85E92-4CDE-4B6A-8EA1-EAAB8989C42F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B5A3B8AC-7622-47BA-BD6A-72BE2556CADD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<sst xmlns="http://schemas.openxmlformats.org/spreadsheetml/2006/main" count="354" uniqueCount="271">
  <si>
    <t>Company Name</t>
  </si>
  <si>
    <t>Column3</t>
  </si>
  <si>
    <t>Column4</t>
  </si>
  <si>
    <t>Column5</t>
  </si>
  <si>
    <t>Column6</t>
  </si>
  <si>
    <t>Column7</t>
  </si>
  <si>
    <t>Currency</t>
  </si>
  <si>
    <t>Country</t>
  </si>
  <si>
    <t>Company size</t>
  </si>
  <si>
    <t>Payments</t>
  </si>
  <si>
    <t>Credit Rating</t>
  </si>
  <si>
    <t>Legal Form</t>
  </si>
  <si>
    <t>Start date</t>
  </si>
  <si>
    <t>Capital</t>
  </si>
  <si>
    <t>Value of Share</t>
  </si>
  <si>
    <t>Activity</t>
  </si>
  <si>
    <t>Managing Director commencement</t>
  </si>
  <si>
    <t>Balance Sheet</t>
  </si>
  <si>
    <t>Financial Year</t>
  </si>
  <si>
    <t>Stocks</t>
  </si>
  <si>
    <t>Debtors</t>
  </si>
  <si>
    <t>Cash &amp; Cash equivalent</t>
  </si>
  <si>
    <t>Other Current Assets</t>
  </si>
  <si>
    <t>Current Assets</t>
  </si>
  <si>
    <t>Intangible Fixed Assets</t>
  </si>
  <si>
    <t>Tangible Fixed Assets</t>
  </si>
  <si>
    <t>Other Fixed Assets (incl Financial Fixed Assets)</t>
  </si>
  <si>
    <t>Fixed Assets</t>
  </si>
  <si>
    <t>Total Assets</t>
  </si>
  <si>
    <t>Othe Shareholders Funds (Incl Reserves)</t>
  </si>
  <si>
    <t>Shareholders Funds</t>
  </si>
  <si>
    <t>Loan</t>
  </si>
  <si>
    <t>Creditors</t>
  </si>
  <si>
    <t>Other Current Liabilitues</t>
  </si>
  <si>
    <t>Current Liabilities</t>
  </si>
  <si>
    <t>Non Current Liabilities</t>
  </si>
  <si>
    <t>Total Shareholders Funds and Liabilities</t>
  </si>
  <si>
    <t>Working capital</t>
  </si>
  <si>
    <t>Income Statement</t>
  </si>
  <si>
    <t>Revenue / Turnover</t>
  </si>
  <si>
    <t>Cost of Goods sold</t>
  </si>
  <si>
    <t>Cost of Sales</t>
  </si>
  <si>
    <t>Gross profit</t>
  </si>
  <si>
    <t>Administrative expenses</t>
  </si>
  <si>
    <t>Sales expenses</t>
  </si>
  <si>
    <t>Subscriptions</t>
  </si>
  <si>
    <t>Total Operating expenses</t>
  </si>
  <si>
    <t>EBITDA</t>
  </si>
  <si>
    <t>Financial revenue</t>
  </si>
  <si>
    <t>Interest / Financial expenses</t>
  </si>
  <si>
    <t>Depreciation</t>
  </si>
  <si>
    <t>Amortisation</t>
  </si>
  <si>
    <t xml:space="preserve">TAX </t>
  </si>
  <si>
    <t>EBT</t>
  </si>
  <si>
    <t>EAT</t>
  </si>
  <si>
    <t>Cash Flow</t>
  </si>
  <si>
    <t>Profit for the year</t>
  </si>
  <si>
    <t>Net cash used in operating activities</t>
  </si>
  <si>
    <t>Net cash used in investment activities</t>
  </si>
  <si>
    <t>Cash from financing activities</t>
  </si>
  <si>
    <t>Cash and cash equivalent at beginning of period</t>
  </si>
  <si>
    <t>Increase (Decrease) in Cash and Cash Equivalent</t>
  </si>
  <si>
    <t>Cash and Cash equivalent at end of peiod</t>
  </si>
  <si>
    <t>Schedule for Cash flow</t>
  </si>
  <si>
    <t>Working Capital Schedule</t>
  </si>
  <si>
    <t>Accounts Receivable</t>
  </si>
  <si>
    <t>Inventory</t>
  </si>
  <si>
    <t>Accounts Payable</t>
  </si>
  <si>
    <t>Other current liabilities</t>
  </si>
  <si>
    <t>Net Working Capital (NWC)</t>
  </si>
  <si>
    <t>Change in NWC</t>
  </si>
  <si>
    <t>Depreciation Schedule</t>
  </si>
  <si>
    <t>PPE Opening</t>
  </si>
  <si>
    <t>Plus Capex</t>
  </si>
  <si>
    <t>Less Depreciation</t>
  </si>
  <si>
    <t>PPE Closing</t>
  </si>
  <si>
    <t>Debt &amp; Interest Schedule</t>
  </si>
  <si>
    <t>Debt Opening</t>
  </si>
  <si>
    <t>Issuance (Repayment)</t>
  </si>
  <si>
    <t>Debt Closing Interest Expense</t>
  </si>
  <si>
    <t>Column2</t>
  </si>
  <si>
    <t>Credit</t>
  </si>
  <si>
    <t>Ratios</t>
  </si>
  <si>
    <t>Profitability Ratio</t>
  </si>
  <si>
    <t>Return on Equity</t>
  </si>
  <si>
    <t>Net Profit Margin</t>
  </si>
  <si>
    <t>Operating Margin</t>
  </si>
  <si>
    <t>Liquidity Ratio</t>
  </si>
  <si>
    <t>Current Ratio</t>
  </si>
  <si>
    <t>Quick ratio</t>
  </si>
  <si>
    <t>Efficiency ratio</t>
  </si>
  <si>
    <t xml:space="preserve">Asset Turnover </t>
  </si>
  <si>
    <t>Operating Cash flow margin</t>
  </si>
  <si>
    <t>Leverage ratio</t>
  </si>
  <si>
    <t>Debt Ratio</t>
  </si>
  <si>
    <t>Debt-Equity Ratio</t>
  </si>
  <si>
    <t>Working Capital / Total Assets ratio</t>
  </si>
  <si>
    <t>Retained Earnings / Total Assets ratio</t>
  </si>
  <si>
    <t>Earnings Before Interest and Tax / Total Assets ratio</t>
  </si>
  <si>
    <t>Market or Book Value / Total Liabilities ratio</t>
  </si>
  <si>
    <t>Total Net Sales / Total Assets ratio</t>
  </si>
  <si>
    <t>Revenue growth</t>
  </si>
  <si>
    <t>Operating Profit</t>
  </si>
  <si>
    <t>Trend</t>
  </si>
  <si>
    <t>Financial risk - Objective</t>
  </si>
  <si>
    <t>Liquid ratio</t>
  </si>
  <si>
    <t>Current ratio</t>
  </si>
  <si>
    <t>Growth rate</t>
  </si>
  <si>
    <t>Operating margin</t>
  </si>
  <si>
    <t>Debt to Equity ratio</t>
  </si>
  <si>
    <t>Financial compliance</t>
  </si>
  <si>
    <t>Financial risk - Subjective</t>
  </si>
  <si>
    <t>Market feedback</t>
  </si>
  <si>
    <t>Dafaults</t>
  </si>
  <si>
    <t>Operational risk</t>
  </si>
  <si>
    <t>Business Operation Tenure</t>
  </si>
  <si>
    <t>Management assessment</t>
  </si>
  <si>
    <t>Tenure</t>
  </si>
  <si>
    <t>Reliability</t>
  </si>
  <si>
    <t>Barrier to entry</t>
  </si>
  <si>
    <t>Company business cycle index vs Industry business cycle index</t>
  </si>
  <si>
    <t>Customer retention</t>
  </si>
  <si>
    <t>Country risk</t>
  </si>
  <si>
    <t>Credit assessment</t>
  </si>
  <si>
    <t>Revenue Growth Factor</t>
  </si>
  <si>
    <t>Compliance Factor</t>
  </si>
  <si>
    <t>Credit as a percentage of Revenue</t>
  </si>
  <si>
    <t>Z-Score</t>
  </si>
  <si>
    <t>Financial year</t>
  </si>
  <si>
    <t>Shares</t>
  </si>
  <si>
    <t>Master Reference Sheet</t>
  </si>
  <si>
    <t>Financial Rating</t>
  </si>
  <si>
    <t>Rating</t>
  </si>
  <si>
    <t>Operating margin trend</t>
  </si>
  <si>
    <t xml:space="preserve">Debt to Equity </t>
  </si>
  <si>
    <t>Market Feedback</t>
  </si>
  <si>
    <t>1.4:1</t>
  </si>
  <si>
    <t>3:1</t>
  </si>
  <si>
    <t>Y</t>
  </si>
  <si>
    <t>.5:1</t>
  </si>
  <si>
    <t>1.3:1</t>
  </si>
  <si>
    <t>2.5:1</t>
  </si>
  <si>
    <t>.7:1</t>
  </si>
  <si>
    <t>1.2:1</t>
  </si>
  <si>
    <t>2:1</t>
  </si>
  <si>
    <t>.8:1</t>
  </si>
  <si>
    <t>1.1:1</t>
  </si>
  <si>
    <t>1.8:1</t>
  </si>
  <si>
    <t>0.9:1</t>
  </si>
  <si>
    <t>1:1</t>
  </si>
  <si>
    <t>1.5:1</t>
  </si>
  <si>
    <t>1.75:1</t>
  </si>
  <si>
    <t>0.7:1</t>
  </si>
  <si>
    <t>N</t>
  </si>
  <si>
    <t>0.6:1</t>
  </si>
  <si>
    <t>0.5:1</t>
  </si>
  <si>
    <t>Loan repayment Default</t>
  </si>
  <si>
    <t>No Defaults</t>
  </si>
  <si>
    <t>Past default</t>
  </si>
  <si>
    <t>Current 1</t>
  </si>
  <si>
    <t>Current 2</t>
  </si>
  <si>
    <t>Current 3</t>
  </si>
  <si>
    <t>Business operational tenure</t>
  </si>
  <si>
    <t>Management assessment  tenure</t>
  </si>
  <si>
    <t>Size of organization</t>
  </si>
  <si>
    <t>More than 50 years</t>
  </si>
  <si>
    <t>Core team more than 10 years</t>
  </si>
  <si>
    <t>More than 100 MN</t>
  </si>
  <si>
    <t>More than 25 years upto 49.9 Years</t>
  </si>
  <si>
    <t>Core team more than 7 years</t>
  </si>
  <si>
    <t>More than 75 Mn</t>
  </si>
  <si>
    <t>Between 10-25 tears</t>
  </si>
  <si>
    <t>Core team more than 5 years</t>
  </si>
  <si>
    <t>More than 50 MN</t>
  </si>
  <si>
    <t>Between 5-10 YEARS</t>
  </si>
  <si>
    <t>Core Team between 3 to 5 years</t>
  </si>
  <si>
    <t>More than 10 Mn</t>
  </si>
  <si>
    <t>Between 3-4 Years</t>
  </si>
  <si>
    <t>Core team 1 to 3 years</t>
  </si>
  <si>
    <t>More than 5 Mn</t>
  </si>
  <si>
    <t>Between 1-3 years</t>
  </si>
  <si>
    <t>New appointed core team</t>
  </si>
  <si>
    <t>More than 3 Mn</t>
  </si>
  <si>
    <t>Less than 1 year</t>
  </si>
  <si>
    <t>More than 1 MN</t>
  </si>
  <si>
    <t>More than .75 but less than 1 Mn</t>
  </si>
  <si>
    <t>Between 0.5 -0.75 MN</t>
  </si>
  <si>
    <t>Less than USD 50000</t>
  </si>
  <si>
    <t>Barrier to entry - Business Type</t>
  </si>
  <si>
    <t>Business Type</t>
  </si>
  <si>
    <t>Industry Trend for growth</t>
  </si>
  <si>
    <t>Charterer</t>
  </si>
  <si>
    <t>Broker</t>
  </si>
  <si>
    <t>Agency - Country</t>
  </si>
  <si>
    <t>Global Agency</t>
  </si>
  <si>
    <t>Ship Owner</t>
  </si>
  <si>
    <t>Port</t>
  </si>
  <si>
    <t>Dry</t>
  </si>
  <si>
    <t>LNG</t>
  </si>
  <si>
    <t>Crude</t>
  </si>
  <si>
    <t>Bunker supplier</t>
  </si>
  <si>
    <t>Intermediary, service provider</t>
  </si>
  <si>
    <t>Business Cycle</t>
  </si>
  <si>
    <t>Revenue Growth</t>
  </si>
  <si>
    <t>Increase last three year</t>
  </si>
  <si>
    <t>Increase last 2 years</t>
  </si>
  <si>
    <t>Increase last year</t>
  </si>
  <si>
    <t>Static</t>
  </si>
  <si>
    <t>Decling last year</t>
  </si>
  <si>
    <t xml:space="preserve">Decline last 2 years </t>
  </si>
  <si>
    <t>Decline last 3 years</t>
  </si>
  <si>
    <t>The Altman’s Z-score formula is written as follows:</t>
  </si>
  <si>
    <t>Z= 0.717A + 3.107B + 0.847C + 0.42D + 0.998E</t>
  </si>
  <si>
    <t>A</t>
  </si>
  <si>
    <t>B</t>
  </si>
  <si>
    <t>C</t>
  </si>
  <si>
    <t>D</t>
  </si>
  <si>
    <t>E</t>
  </si>
  <si>
    <t>Z Score interpretation</t>
  </si>
  <si>
    <t>&lt;1.81</t>
  </si>
  <si>
    <t>In Distress</t>
  </si>
  <si>
    <t>&lt;1.23</t>
  </si>
  <si>
    <t>&gt;=1.81&lt;2.99</t>
  </si>
  <si>
    <t>Caution zone</t>
  </si>
  <si>
    <t>&gt;=1.23&lt;2.9</t>
  </si>
  <si>
    <t>&gt;=2.99</t>
  </si>
  <si>
    <t>Safe position</t>
  </si>
  <si>
    <t>&gt;=2.9</t>
  </si>
  <si>
    <t>Risk score Calculation</t>
  </si>
  <si>
    <t>Factors</t>
  </si>
  <si>
    <t>Percentage weight</t>
  </si>
  <si>
    <t>Business Size</t>
  </si>
  <si>
    <t>Financial complaince</t>
  </si>
  <si>
    <t>Total</t>
  </si>
  <si>
    <t>Europe</t>
  </si>
  <si>
    <t>UK</t>
  </si>
  <si>
    <t>USA</t>
  </si>
  <si>
    <t>JAPAN</t>
  </si>
  <si>
    <t>China</t>
  </si>
  <si>
    <t>India</t>
  </si>
  <si>
    <t>UAE</t>
  </si>
  <si>
    <t>risk</t>
  </si>
  <si>
    <t>Weightage Score</t>
  </si>
  <si>
    <t>lq r</t>
  </si>
  <si>
    <t>cr</t>
  </si>
  <si>
    <t>rating</t>
  </si>
  <si>
    <t>Score</t>
  </si>
  <si>
    <t xml:space="preserve">Weightage </t>
  </si>
  <si>
    <t>deb to e</t>
  </si>
  <si>
    <t>High risk</t>
  </si>
  <si>
    <t>Risk</t>
  </si>
  <si>
    <t>Moderate</t>
  </si>
  <si>
    <t>Good</t>
  </si>
  <si>
    <t>Desired rate</t>
  </si>
  <si>
    <t>Management relatibility</t>
  </si>
  <si>
    <t>usd</t>
  </si>
  <si>
    <t>Large</t>
  </si>
  <si>
    <t>Ship Building</t>
  </si>
  <si>
    <t>No. of outstanding Shares</t>
  </si>
  <si>
    <t xml:space="preserve"> Liqudity Assessment(Current Assets - Current Liabilities)</t>
  </si>
  <si>
    <t>less than 500000</t>
  </si>
  <si>
    <t>Value</t>
  </si>
  <si>
    <t>PATH</t>
  </si>
  <si>
    <t>Column8</t>
  </si>
  <si>
    <t>INDIA</t>
  </si>
  <si>
    <t>Path 2</t>
  </si>
  <si>
    <t>D:\Excel work\FINAL TEMP AND CALC FILE\Projection</t>
  </si>
  <si>
    <t>Art Science and TECH</t>
  </si>
  <si>
    <t>Enter Path where you want projection</t>
  </si>
  <si>
    <t>D:\Excel work\FINAL TEMP AND CALC FILE\Projection\</t>
  </si>
  <si>
    <t>**Note    As you copy paste your Path above don’t forget to add an"\" without any space**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</si>
</sst>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 * #,##0_ ;_ * \-#,##0_ ;_ * &quot;-&quot;_ ;_ @_ "/>
    <numFmt numFmtId="43" formatCode="_ * #,##0.00_ ;_ * \-#,##0.00_ ;_ * &quot;-&quot;??_ ;_ @_ "/>
    <numFmt numFmtId="164" formatCode="_(* #,##0.00_);_(* \(#,##0.00\);_(* &quot;-&quot;??_);_(@_)"/>
    <numFmt numFmtId="165" formatCode="0.000"/>
    <numFmt numFmtId="166" formatCode="_ * #,##0.000_ ;_ * \-#,##0.000_ ;_ * &quot;-&quot;??_ ;_ @_ "/>
    <numFmt numFmtId="167" formatCode="_ * #,##0.0000_ ;_ * \-#,##0.0000_ ;_ * &quot;-&quot;??_ ;_ @_ "/>
    <numFmt numFmtId="168" formatCode="00\ &quot;yrs&quot;"/>
    <numFmt numFmtId="169" formatCode="00.00\ &quot;Mn&quot;"/>
    <numFmt numFmtId="170" formatCode="00.00\ &quot;Yrs&quot;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8"/>
      <color rgb="FF000000"/>
      <name val="Georgia"/>
      <family val="1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0">
    <xf numFmtId="0" fontId="0" fillId="0" borderId="0" xfId="0"/>
    <xf numFmtId="164" fontId="0" fillId="0" borderId="0" xfId="0" applyNumberFormat="1"/>
    <xf numFmtId="0" fontId="0" fillId="2" borderId="1" xfId="0" applyFill="1" applyBorder="1"/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3" fillId="0" borderId="0" xfId="0" applyFont="1"/>
    <xf numFmtId="0" fontId="0" fillId="0" borderId="0" xfId="0" applyAlignment="1">
      <alignment horizontal="right"/>
    </xf>
    <xf numFmtId="10" fontId="0" fillId="0" borderId="0" xfId="1" applyNumberFormat="1" applyFont="1"/>
    <xf numFmtId="165" fontId="0" fillId="0" borderId="0" xfId="0" applyNumberFormat="1"/>
    <xf numFmtId="9" fontId="0" fillId="0" borderId="0" xfId="1" applyFont="1"/>
    <xf numFmtId="0" fontId="0" fillId="2" borderId="0" xfId="0" applyFill="1"/>
    <xf numFmtId="0" fontId="0" fillId="5" borderId="0" xfId="0" applyFill="1"/>
    <xf numFmtId="0" fontId="0" fillId="0" borderId="0" xfId="0" applyNumberFormat="1"/>
    <xf numFmtId="0" fontId="0" fillId="6" borderId="0" xfId="0" applyFill="1"/>
    <xf numFmtId="0" fontId="5" fillId="7" borderId="0" xfId="0" applyFont="1" applyFill="1"/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0" fillId="0" borderId="0" xfId="0" applyBorder="1"/>
    <xf numFmtId="0" fontId="0" fillId="0" borderId="0" xfId="0" applyFill="1" applyBorder="1"/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8" borderId="1" xfId="0" quotePrefix="1" applyFill="1" applyBorder="1"/>
    <xf numFmtId="0" fontId="0" fillId="8" borderId="1" xfId="0" quotePrefix="1" applyFill="1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20" fontId="0" fillId="9" borderId="1" xfId="0" quotePrefix="1" applyNumberFormat="1" applyFill="1" applyBorder="1"/>
    <xf numFmtId="0" fontId="0" fillId="9" borderId="1" xfId="0" quotePrefix="1" applyFill="1" applyBorder="1"/>
    <xf numFmtId="0" fontId="0" fillId="9" borderId="1" xfId="0" quotePrefix="1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quotePrefix="1" applyFill="1" applyBorder="1" applyAlignment="1">
      <alignment horizontal="center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quotePrefix="1" applyFill="1" applyBorder="1"/>
    <xf numFmtId="0" fontId="0" fillId="3" borderId="1" xfId="0" quotePrefix="1" applyFill="1" applyBorder="1" applyAlignment="1">
      <alignment horizontal="left"/>
    </xf>
    <xf numFmtId="0" fontId="0" fillId="3" borderId="1" xfId="0" quotePrefix="1" applyFill="1" applyBorder="1" applyAlignment="1">
      <alignment horizontal="center"/>
    </xf>
    <xf numFmtId="0" fontId="0" fillId="4" borderId="1" xfId="0" applyFill="1" applyBorder="1"/>
    <xf numFmtId="0" fontId="0" fillId="12" borderId="1" xfId="0" applyFill="1" applyBorder="1"/>
    <xf numFmtId="0" fontId="7" fillId="8" borderId="1" xfId="0" applyFont="1" applyFill="1" applyBorder="1"/>
    <xf numFmtId="0" fontId="7" fillId="9" borderId="1" xfId="0" applyFont="1" applyFill="1" applyBorder="1"/>
    <xf numFmtId="0" fontId="7" fillId="10" borderId="1" xfId="0" applyFont="1" applyFill="1" applyBorder="1"/>
    <xf numFmtId="0" fontId="7" fillId="11" borderId="1" xfId="0" applyFont="1" applyFill="1" applyBorder="1"/>
    <xf numFmtId="0" fontId="7" fillId="3" borderId="1" xfId="0" applyFont="1" applyFill="1" applyBorder="1"/>
    <xf numFmtId="0" fontId="7" fillId="12" borderId="1" xfId="0" applyFont="1" applyFill="1" applyBorder="1"/>
    <xf numFmtId="0" fontId="7" fillId="0" borderId="0" xfId="0" applyFont="1"/>
    <xf numFmtId="0" fontId="8" fillId="0" borderId="0" xfId="0" applyFont="1"/>
    <xf numFmtId="0" fontId="0" fillId="4" borderId="1" xfId="0" applyFill="1" applyBorder="1" applyAlignment="1">
      <alignment horizontal="center"/>
    </xf>
    <xf numFmtId="0" fontId="0" fillId="4" borderId="1" xfId="0" quotePrefix="1" applyFill="1" applyBorder="1" applyAlignment="1">
      <alignment horizontal="center"/>
    </xf>
    <xf numFmtId="0" fontId="0" fillId="13" borderId="1" xfId="0" applyFill="1" applyBorder="1"/>
    <xf numFmtId="0" fontId="0" fillId="14" borderId="1" xfId="0" applyFill="1" applyBorder="1"/>
    <xf numFmtId="0" fontId="9" fillId="2" borderId="3" xfId="0" applyFont="1" applyFill="1" applyBorder="1" applyAlignment="1">
      <alignment horizontal="center"/>
    </xf>
    <xf numFmtId="0" fontId="0" fillId="2" borderId="4" xfId="0" applyFill="1" applyBorder="1"/>
    <xf numFmtId="0" fontId="0" fillId="0" borderId="0" xfId="0" applyFill="1"/>
    <xf numFmtId="0" fontId="0" fillId="2" borderId="5" xfId="0" applyFill="1" applyBorder="1"/>
    <xf numFmtId="0" fontId="10" fillId="7" borderId="3" xfId="0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9" fontId="0" fillId="6" borderId="6" xfId="1" applyNumberFormat="1" applyFont="1" applyFill="1" applyBorder="1"/>
    <xf numFmtId="166" fontId="0" fillId="0" borderId="0" xfId="0" applyNumberFormat="1"/>
    <xf numFmtId="167" fontId="0" fillId="0" borderId="0" xfId="0" applyNumberFormat="1"/>
    <xf numFmtId="0" fontId="4" fillId="0" borderId="7" xfId="0" applyFont="1" applyBorder="1"/>
    <xf numFmtId="0" fontId="4" fillId="0" borderId="8" xfId="0" applyFont="1" applyBorder="1"/>
    <xf numFmtId="164" fontId="0" fillId="6" borderId="0" xfId="0" applyNumberFormat="1" applyFill="1"/>
    <xf numFmtId="0" fontId="0" fillId="0" borderId="0" xfId="0" applyNumberFormat="1" applyAlignment="1">
      <alignment horizontal="right"/>
    </xf>
    <xf numFmtId="168" fontId="0" fillId="0" borderId="0" xfId="0" applyNumberFormat="1"/>
    <xf numFmtId="0" fontId="0" fillId="0" borderId="2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15" borderId="1" xfId="0" applyFont="1" applyFill="1" applyBorder="1"/>
    <xf numFmtId="2" fontId="0" fillId="6" borderId="0" xfId="0" applyNumberFormat="1" applyFill="1"/>
    <xf numFmtId="0" fontId="11" fillId="16" borderId="3" xfId="0" applyFont="1" applyFill="1" applyBorder="1" applyAlignment="1">
      <alignment horizontal="center"/>
    </xf>
    <xf numFmtId="0" fontId="11" fillId="16" borderId="15" xfId="0" applyFont="1" applyFill="1" applyBorder="1" applyAlignment="1">
      <alignment horizontal="center"/>
    </xf>
    <xf numFmtId="0" fontId="12" fillId="0" borderId="1" xfId="0" applyFont="1" applyBorder="1"/>
    <xf numFmtId="0" fontId="3" fillId="0" borderId="1" xfId="0" applyFont="1" applyBorder="1" applyAlignment="1">
      <alignment horizontal="center"/>
    </xf>
    <xf numFmtId="10" fontId="0" fillId="0" borderId="0" xfId="0" applyNumberFormat="1"/>
    <xf numFmtId="9" fontId="0" fillId="0" borderId="0" xfId="0" applyNumberFormat="1"/>
    <xf numFmtId="0" fontId="0" fillId="0" borderId="7" xfId="0" applyBorder="1"/>
    <xf numFmtId="0" fontId="0" fillId="0" borderId="8" xfId="0" applyBorder="1"/>
    <xf numFmtId="0" fontId="0" fillId="17" borderId="1" xfId="0" applyFill="1" applyBorder="1"/>
    <xf numFmtId="0" fontId="0" fillId="0" borderId="3" xfId="0" applyBorder="1"/>
    <xf numFmtId="0" fontId="4" fillId="19" borderId="15" xfId="0" applyFont="1" applyFill="1" applyBorder="1"/>
    <xf numFmtId="0" fontId="4" fillId="19" borderId="16" xfId="0" applyFont="1" applyFill="1" applyBorder="1"/>
    <xf numFmtId="0" fontId="4" fillId="19" borderId="5" xfId="0" applyFont="1" applyFill="1" applyBorder="1"/>
    <xf numFmtId="165" fontId="4" fillId="0" borderId="0" xfId="0" applyNumberFormat="1" applyFont="1"/>
    <xf numFmtId="9" fontId="0" fillId="0" borderId="3" xfId="0" applyNumberFormat="1" applyBorder="1"/>
    <xf numFmtId="0" fontId="0" fillId="0" borderId="17" xfId="0" applyBorder="1"/>
    <xf numFmtId="0" fontId="0" fillId="0" borderId="18" xfId="0" applyBorder="1"/>
    <xf numFmtId="9" fontId="0" fillId="6" borderId="0" xfId="1" applyFont="1" applyFill="1"/>
    <xf numFmtId="14" fontId="0" fillId="0" borderId="0" xfId="0" applyNumberFormat="1"/>
    <xf numFmtId="0" fontId="3" fillId="0" borderId="3" xfId="0" applyFont="1" applyBorder="1" applyAlignment="1">
      <alignment horizontal="center" vertical="center"/>
    </xf>
    <xf numFmtId="0" fontId="0" fillId="18" borderId="3" xfId="0" applyFill="1" applyBorder="1" applyAlignment="1">
      <alignment horizontal="right"/>
    </xf>
    <xf numFmtId="0" fontId="12" fillId="0" borderId="1" xfId="0" applyFont="1" applyFill="1" applyBorder="1"/>
    <xf numFmtId="0" fontId="0" fillId="0" borderId="7" xfId="0" applyFill="1" applyBorder="1"/>
    <xf numFmtId="0" fontId="0" fillId="0" borderId="8" xfId="0" applyFill="1" applyBorder="1"/>
    <xf numFmtId="0" fontId="0" fillId="20" borderId="7" xfId="0" applyFill="1" applyBorder="1"/>
    <xf numFmtId="0" fontId="12" fillId="0" borderId="0" xfId="0" applyFont="1" applyFill="1" applyBorder="1"/>
    <xf numFmtId="0" fontId="0" fillId="0" borderId="3" xfId="0" applyFill="1" applyBorder="1" applyAlignment="1">
      <alignment horizontal="center"/>
    </xf>
    <xf numFmtId="0" fontId="0" fillId="20" borderId="0" xfId="0" applyFill="1" applyBorder="1"/>
    <xf numFmtId="0" fontId="0" fillId="0" borderId="3" xfId="0" applyBorder="1" applyAlignment="1">
      <alignment horizontal="center"/>
    </xf>
    <xf numFmtId="165" fontId="0" fillId="16" borderId="19" xfId="0" applyNumberFormat="1" applyFill="1" applyBorder="1"/>
    <xf numFmtId="165" fontId="0" fillId="0" borderId="1" xfId="0" applyNumberFormat="1" applyBorder="1"/>
    <xf numFmtId="0" fontId="0" fillId="0" borderId="0" xfId="0" applyFill="1" applyAlignment="1">
      <alignment horizontal="center"/>
    </xf>
    <xf numFmtId="41" fontId="0" fillId="0" borderId="0" xfId="0" applyNumberFormat="1"/>
    <xf numFmtId="169" fontId="0" fillId="0" borderId="0" xfId="0" applyNumberFormat="1" applyFill="1"/>
    <xf numFmtId="170" fontId="0" fillId="0" borderId="0" xfId="0" applyNumberFormat="1"/>
    <xf numFmtId="0" fontId="12" fillId="0" borderId="0" xfId="0" applyFont="1" applyBorder="1"/>
    <xf numFmtId="43" fontId="0" fillId="0" borderId="1" xfId="0" applyNumberFormat="1" applyBorder="1"/>
    <xf numFmtId="9" fontId="0" fillId="0" borderId="1" xfId="0" applyNumberFormat="1" applyBorder="1"/>
    <xf numFmtId="0" fontId="15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21" borderId="22" xfId="0" applyFill="1" applyBorder="1" applyAlignment="1">
      <alignment horizontal="left"/>
    </xf>
  </cellXfs>
  <cellStyles count="2">
    <cellStyle name="Normal" xfId="0" builtinId="0"/>
    <cellStyle name="Percent" xfId="1" builtinId="5"/>
  </cellStyles>
  <dxfs count="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ustomXml" Target="../ink/ink2.xml"/><Relationship Id="rId6" Type="http://schemas.openxmlformats.org/officeDocument/2006/relationships/image" Target="../media/image3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2</xdr:row>
      <xdr:rowOff>15240</xdr:rowOff>
    </xdr:from>
    <xdr:to>
      <xdr:col>18</xdr:col>
      <xdr:colOff>0</xdr:colOff>
      <xdr:row>5</xdr:row>
      <xdr:rowOff>175260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9DA4F9E-7092-7B81-F17E-FA13CAF40BCB}"/>
            </a:ext>
          </a:extLst>
        </xdr:cNvPr>
        <xdr:cNvSpPr/>
      </xdr:nvSpPr>
      <xdr:spPr>
        <a:xfrm>
          <a:off x="3642360" y="381000"/>
          <a:ext cx="7330440" cy="708660"/>
        </a:xfrm>
        <a:prstGeom prst="rec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lin ang="5400000" scaled="1"/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600" u="sng"/>
            <a:t>Steps to perform</a:t>
          </a:r>
        </a:p>
      </xdr:txBody>
    </xdr:sp>
    <xdr:clientData/>
  </xdr:twoCellAnchor>
  <xdr:twoCellAnchor>
    <xdr:from>
      <xdr:col>6</xdr:col>
      <xdr:colOff>38100</xdr:colOff>
      <xdr:row>13</xdr:row>
      <xdr:rowOff>22860</xdr:rowOff>
    </xdr:from>
    <xdr:to>
      <xdr:col>10</xdr:col>
      <xdr:colOff>601980</xdr:colOff>
      <xdr:row>16</xdr:row>
      <xdr:rowOff>175260</xdr:rowOff>
    </xdr:to>
    <xdr:sp macro="[0]!refresh" textlink="">
      <xdr:nvSpPr>
        <xdr:cNvPr id="3" name="Rectangle 2">
          <a:extLst>
            <a:ext uri="{FF2B5EF4-FFF2-40B4-BE49-F238E27FC236}">
              <a16:creationId xmlns:a16="http://schemas.microsoft.com/office/drawing/2014/main" id="{2B0A7F65-326E-28EC-31D8-D85DED3D23BA}"/>
            </a:ext>
          </a:extLst>
        </xdr:cNvPr>
        <xdr:cNvSpPr/>
      </xdr:nvSpPr>
      <xdr:spPr>
        <a:xfrm>
          <a:off x="3695700" y="2400300"/>
          <a:ext cx="3002280" cy="701040"/>
        </a:xfrm>
        <a:prstGeom prst="rect">
          <a:avLst/>
        </a:prstGeom>
        <a:gradFill flip="none" rotWithShape="1">
          <a:gsLst>
            <a:gs pos="0">
              <a:schemeClr val="accent2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2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2">
                <a:lumMod val="20000"/>
                <a:lumOff val="80000"/>
                <a:shade val="100000"/>
                <a:satMod val="115000"/>
              </a:schemeClr>
            </a:gs>
          </a:gsLst>
          <a:path path="circle">
            <a:fillToRect t="100000" r="100000"/>
          </a:path>
          <a:tileRect l="-100000" b="-100000"/>
        </a:gradFill>
        <a:effectLst>
          <a:outerShdw blurRad="50800" dist="38100" dir="13500000" algn="br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Refresh</a:t>
          </a:r>
        </a:p>
      </xdr:txBody>
    </xdr:sp>
    <xdr:clientData/>
  </xdr:twoCellAnchor>
  <xdr:twoCellAnchor>
    <xdr:from>
      <xdr:col>13</xdr:col>
      <xdr:colOff>38100</xdr:colOff>
      <xdr:row>13</xdr:row>
      <xdr:rowOff>15240</xdr:rowOff>
    </xdr:from>
    <xdr:to>
      <xdr:col>17</xdr:col>
      <xdr:colOff>601980</xdr:colOff>
      <xdr:row>16</xdr:row>
      <xdr:rowOff>167640</xdr:rowOff>
    </xdr:to>
    <xdr:sp macro="[0]!save_as" textlink="">
      <xdr:nvSpPr>
        <xdr:cNvPr id="4" name="Rectangle 3">
          <a:extLst>
            <a:ext uri="{FF2B5EF4-FFF2-40B4-BE49-F238E27FC236}">
              <a16:creationId xmlns:a16="http://schemas.microsoft.com/office/drawing/2014/main" id="{CA44319B-44F2-C2EB-B63D-B668A0DB8B0F}"/>
            </a:ext>
          </a:extLst>
        </xdr:cNvPr>
        <xdr:cNvSpPr/>
      </xdr:nvSpPr>
      <xdr:spPr>
        <a:xfrm>
          <a:off x="7962900" y="2392680"/>
          <a:ext cx="3002280" cy="701040"/>
        </a:xfrm>
        <a:prstGeom prst="rect">
          <a:avLst/>
        </a:prstGeom>
        <a:gradFill flip="none" rotWithShape="1">
          <a:gsLst>
            <a:gs pos="0">
              <a:schemeClr val="accent2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2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2">
                <a:lumMod val="20000"/>
                <a:lumOff val="80000"/>
                <a:shade val="100000"/>
                <a:satMod val="115000"/>
              </a:schemeClr>
            </a:gs>
          </a:gsLst>
          <a:path path="circle">
            <a:fillToRect t="100000" r="100000"/>
          </a:path>
          <a:tileRect l="-100000" b="-100000"/>
        </a:gradFill>
        <a:effectLst>
          <a:outerShdw blurRad="50800" dist="38100" dir="13500000" algn="br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Save</a:t>
          </a:r>
          <a:r>
            <a:rPr lang="en-IN" sz="2800" baseline="0"/>
            <a:t> as Co. name</a:t>
          </a:r>
          <a:endParaRPr lang="en-IN" sz="2800"/>
        </a:p>
      </xdr:txBody>
    </xdr:sp>
    <xdr:clientData/>
  </xdr:twoCellAnchor>
  <xdr:twoCellAnchor>
    <xdr:from>
      <xdr:col>3</xdr:col>
      <xdr:colOff>99060</xdr:colOff>
      <xdr:row>7</xdr:row>
      <xdr:rowOff>76200</xdr:rowOff>
    </xdr:from>
    <xdr:to>
      <xdr:col>6</xdr:col>
      <xdr:colOff>251460</xdr:colOff>
      <xdr:row>12</xdr:row>
      <xdr:rowOff>83820</xdr:rowOff>
    </xdr:to>
    <xdr:sp macro="" textlink="">
      <xdr:nvSpPr>
        <xdr:cNvPr id="6" name="Thought Bubble: Cloud 5">
          <a:extLst>
            <a:ext uri="{FF2B5EF4-FFF2-40B4-BE49-F238E27FC236}">
              <a16:creationId xmlns:a16="http://schemas.microsoft.com/office/drawing/2014/main" id="{901A2CBF-9244-128E-08CD-658895EDD71F}"/>
            </a:ext>
          </a:extLst>
        </xdr:cNvPr>
        <xdr:cNvSpPr/>
      </xdr:nvSpPr>
      <xdr:spPr>
        <a:xfrm flipH="1">
          <a:off x="1927860" y="1356360"/>
          <a:ext cx="1981200" cy="922020"/>
        </a:xfrm>
        <a:prstGeom prst="cloudCallout">
          <a:avLst>
            <a:gd name="adj1" fmla="val -33525"/>
            <a:gd name="adj2" fmla="val 79029"/>
          </a:avLst>
        </a:prstGeom>
        <a:solidFill>
          <a:schemeClr val="accent3">
            <a:lumMod val="40000"/>
            <a:lumOff val="6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/>
            <a:t>Click</a:t>
          </a:r>
          <a:r>
            <a:rPr lang="en-IN" sz="2000" baseline="0"/>
            <a:t> here </a:t>
          </a:r>
          <a:endParaRPr lang="en-IN" sz="2000"/>
        </a:p>
      </xdr:txBody>
    </xdr:sp>
    <xdr:clientData/>
  </xdr:twoCellAnchor>
  <xdr:twoCellAnchor>
    <xdr:from>
      <xdr:col>17</xdr:col>
      <xdr:colOff>441960</xdr:colOff>
      <xdr:row>7</xdr:row>
      <xdr:rowOff>7620</xdr:rowOff>
    </xdr:from>
    <xdr:to>
      <xdr:col>20</xdr:col>
      <xdr:colOff>548640</xdr:colOff>
      <xdr:row>12</xdr:row>
      <xdr:rowOff>15240</xdr:rowOff>
    </xdr:to>
    <xdr:sp macro="" textlink="">
      <xdr:nvSpPr>
        <xdr:cNvPr id="8" name="Thought Bubble: Cloud 7">
          <a:extLst>
            <a:ext uri="{FF2B5EF4-FFF2-40B4-BE49-F238E27FC236}">
              <a16:creationId xmlns:a16="http://schemas.microsoft.com/office/drawing/2014/main" id="{D86D2E4E-9100-9A2E-7C99-346C81AE3606}"/>
            </a:ext>
          </a:extLst>
        </xdr:cNvPr>
        <xdr:cNvSpPr/>
      </xdr:nvSpPr>
      <xdr:spPr>
        <a:xfrm>
          <a:off x="10805160" y="1287780"/>
          <a:ext cx="1935480" cy="922020"/>
        </a:xfrm>
        <a:prstGeom prst="cloudCallout">
          <a:avLst>
            <a:gd name="adj1" fmla="val -33525"/>
            <a:gd name="adj2" fmla="val 79029"/>
          </a:avLst>
        </a:prstGeom>
        <a:solidFill>
          <a:schemeClr val="accent3">
            <a:lumMod val="40000"/>
            <a:lumOff val="60000"/>
          </a:schemeClr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/>
            <a:t>Click</a:t>
          </a:r>
          <a:r>
            <a:rPr lang="en-IN" sz="2000" baseline="0"/>
            <a:t> here </a:t>
          </a:r>
          <a:endParaRPr lang="en-IN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889920</xdr:colOff>
      <xdr:row>22</xdr:row>
      <xdr:rowOff>188280</xdr:rowOff>
    </xdr:from>
    <xdr:to>
      <xdr:col>3</xdr:col>
      <xdr:colOff>891720</xdr:colOff>
      <xdr:row>22</xdr:row>
      <xdr:rowOff>188640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C22D03EE-0FA2-C775-0C55-686F34C48D66}"/>
                </a:ext>
              </a:extLst>
            </xdr14:cNvPr>
            <xdr14:cNvContentPartPr/>
          </xdr14:nvContentPartPr>
          <xdr14:nvPr macro=""/>
          <xdr14:xfrm>
            <a:off x="7473600" y="4287840"/>
            <a:ext cx="1800" cy="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22D03EE-0FA2-C775-0C55-686F34C48D6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464600" y="4278840"/>
              <a:ext cx="1944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236460</xdr:colOff>
      <xdr:row>3</xdr:row>
      <xdr:rowOff>62100</xdr:rowOff>
    </xdr:from>
    <xdr:to>
      <xdr:col>10</xdr:col>
      <xdr:colOff>544620</xdr:colOff>
      <xdr:row>14</xdr:row>
      <xdr:rowOff>69300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4D6FCE61-9A3A-A421-0921-52F91E227FA6}"/>
                </a:ext>
              </a:extLst>
            </xdr14:cNvPr>
            <xdr14:cNvContentPartPr/>
          </xdr14:nvContentPartPr>
          <xdr14:nvPr macro=""/>
          <xdr14:xfrm>
            <a:off x="14866860" y="770760"/>
            <a:ext cx="308160" cy="20646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4D6FCE61-9A3A-A421-0921-52F91E227FA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4858220" y="761760"/>
              <a:ext cx="325800" cy="2082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249840</xdr:colOff>
      <xdr:row>26</xdr:row>
      <xdr:rowOff>149580</xdr:rowOff>
    </xdr:from>
    <xdr:to>
      <xdr:col>11</xdr:col>
      <xdr:colOff>253800</xdr:colOff>
      <xdr:row>26</xdr:row>
      <xdr:rowOff>159300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E26800F1-5B56-7D14-0D5A-9AB4BF52B3EA}"/>
                </a:ext>
              </a:extLst>
            </xdr14:cNvPr>
            <xdr14:cNvContentPartPr/>
          </xdr14:nvContentPartPr>
          <xdr14:nvPr macro=""/>
          <xdr14:xfrm>
            <a:off x="11451240" y="5056860"/>
            <a:ext cx="3960" cy="972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E26800F1-5B56-7D14-0D5A-9AB4BF52B3E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1442600" y="5047860"/>
              <a:ext cx="21600" cy="27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5-07T15:48:09.5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9560 2441 24575,'0'0'0,"0"0"0,0 0 0,0 0 0,2 0 0,0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5-06T10:41:16.6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184 30 24575,'0'0'0,"1"-1"0,-1 0 0,0 0 0,1 0 0,-1 0 0,1-1 0,-1 1 0,1 0 0,0 0 0,-1 0 0,1 0 0,0 1 0,0-1 0,1-2 0,5 1 0,0-1 0,0 1 0,0 0 0,0 1 0,1-1 0,-1 1 0,0 1 0,0-1 0,1 2 0,-1-1 0,0 1 0,15 2 0,-11 0 0,0 0 0,-1 0 0,1 1 0,-1 0 0,0 1 0,0 0 0,18 13 0,-19-10 0,1 0 0,-2 1 0,1 1 0,-1-1 0,0 1 0,-1 1 0,-1-1 0,1 1 0,-2 1 0,1-1 0,-2 1 0,1 0 0,-2 0 0,1 0 0,-2 0 0,0 1 0,1 23 0,-2-3 0,-2 1 0,-1-1 0,-1 0 0,-2 0 0,-16 53 0,-13 17 0,-5-1 0,-55 101 0,-7 20 0,76-162 0,-27 109 0,47-150 0,1 0 0,2 0 0,0 1 0,0-1 0,2 1 0,4 37 0,-1-43 0,0 0 0,1 0 0,1 0 0,0 0 0,1-1 0,1 0 0,0 0 0,1-1 0,15 21 0,2-4 0,1 0 0,51 43 0,72 45 0,51 48 0,-179-146 0,-1 2 0,-1 0 0,-1 1 0,-1 1 0,-1 1 0,23 47 0,-31-53 0,-2 0 0,0 1 0,-1-1 0,-1 1 0,-1 0 0,-1 0 0,-1 0 0,0 0 0,-2 1 0,0-1 0,-6 27 0,-7 19 0,-3 0 0,-26 65 0,9-30 0,17-38 0,2 1 0,3 0 0,3 1 0,3 0 0,3 1 0,3-1 0,14 124 0,23 82 0,10 98 0,-40-277 0,-4 1 0,-10 94 0,0-116 0,-3-1 0,-3 0 0,-3-1 0,-3-1 0,-3-1 0,-3-1 0,-42 80 0,47-109 0,-2 0 0,-1-2 0,-2-1 0,-1-1 0,-2-1 0,-1-1 0,-1-2 0,-1-1 0,-2-1 0,-1-2 0,-1-2 0,-1-1 0,-57 26 0,79-42-195,0 0 0,-1-1 0,0 0 0,1-1 0,-2-1 0,-20 2 0,27-5-6631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5-12T10:08:00.4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12163 846 1400 0 0,'0'0'0'0'0,"-9"26"0"0"0</inkml:trace>
</inkml: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253BE00-EC3D-405F-81C3-34B30E642EDC}" autoFormatId="16" applyNumberFormats="0" applyBorderFormats="0" applyFontFormats="0" applyPatternFormats="0" applyAlignmentFormats="0" applyWidthHeightFormats="0">
  <queryTableRefresh nextId="8">
    <queryTableFields count="7">
      <queryTableField id="1" name="Column2" tableColumnId="1"/>
      <queryTableField id="2" name="Column3" tableColumnId="2"/>
      <queryTableField id="3" name="Column4" tableColumnId="3"/>
      <queryTableField id="4" name="Column5" tableColumnId="4"/>
      <queryTableField id="5" name="Column6" tableColumnId="5"/>
      <queryTableField id="6" name="Column7" tableColumnId="6"/>
      <queryTableField id="7" name="Column8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99665-CB4D-4A81-BAFD-26D3CE0FAEE2}" name="pathaddress" displayName="pathaddress" ref="L1:L2" totalsRowShown="0">
  <autoFilter ref="L1:L2" xr:uid="{5DA99665-CB4D-4A81-BAFD-26D3CE0FAEE2}"/>
  <tableColumns count="1">
    <tableColumn id="1" xr3:uid="{6A42CD47-40E5-4262-A246-879CF06BFFDD}" name="PATH">
      <calculatedColumnFormula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5CAEBF-5313-435F-BA2A-F5790226C5F2}" name="pathaddress_2" displayName="pathaddress_2" ref="A1:G81" tableType="queryTable" totalsRowShown="0">
  <autoFilter ref="A1:G81" xr:uid="{845CAEBF-5313-435F-BA2A-F5790226C5F2}"/>
  <tableColumns count="7">
    <tableColumn id="1" xr3:uid="{162698FC-4ECA-4559-B5F1-68D4BA7A90F8}" uniqueName="1" name="Column2" queryTableFieldId="1" dataDxfId="6"/>
    <tableColumn id="2" xr3:uid="{4F532D2E-D659-449B-9697-2430FDE1C899}" uniqueName="2" name="Column3" queryTableFieldId="2"/>
    <tableColumn id="3" xr3:uid="{DF89B858-601F-4077-913E-5599DE7DD846}" uniqueName="3" name="Column4" queryTableFieldId="3"/>
    <tableColumn id="4" xr3:uid="{2F0FFDB4-7D9F-4755-BE67-B9D02709BD9B}" uniqueName="4" name="Column5" queryTableFieldId="4"/>
    <tableColumn id="5" xr3:uid="{57E5D94E-91C2-46AE-8F1A-1EEEE62AD109}" uniqueName="5" name="Column6" queryTableFieldId="5"/>
    <tableColumn id="6" xr3:uid="{61098E05-1FCC-4316-BBA8-BFAC734EF5D4}" uniqueName="6" name="Column7" queryTableFieldId="6"/>
    <tableColumn id="7" xr3:uid="{C791DF28-8C95-45AB-B0AD-53CDCFD659C4}" uniqueName="7" name="Column8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C24CED-ABEC-4431-82B5-E96E4550B0FA}" name="Table4" displayName="Table4" ref="B115:C122" totalsRowShown="0" headerRowDxfId="5" headerRowBorderDxfId="4" tableBorderDxfId="3" totalsRowBorderDxfId="2">
  <autoFilter ref="B115:C122" xr:uid="{3EC24CED-ABEC-4431-82B5-E96E4550B0FA}"/>
  <tableColumns count="2">
    <tableColumn id="1" xr3:uid="{7B56530A-052D-4E7D-BA59-4BEF707F85A7}" name="Country risk" dataDxfId="1"/>
    <tableColumn id="2" xr3:uid="{C0A130C8-066B-4E78-B5DB-EE05C9713379}" name="ris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EA418-2EB7-45C6-8998-9C3A952EFFCC}">
  <sheetPr codeName="Sheet1"/>
  <dimension ref="G23:R26"/>
  <sheetViews>
    <sheetView showGridLines="0" showRowColHeaders="0" tabSelected="1" workbookViewId="0">
      <selection activeCell="F23" sqref="F23"/>
    </sheetView>
  </sheetViews>
  <sheetFormatPr defaultRowHeight="14.4" x14ac:dyDescent="0.3"/>
  <sheetData>
    <row r="23" spans="7:18" ht="15" thickBot="1" x14ac:dyDescent="0.35"/>
    <row r="24" spans="7:18" ht="15" thickBot="1" x14ac:dyDescent="0.35">
      <c r="K24" s="116" t="s">
        <v>268</v>
      </c>
      <c r="L24" s="117"/>
      <c r="M24" s="117"/>
      <c r="N24" s="118"/>
    </row>
    <row r="25" spans="7:18" x14ac:dyDescent="0.3">
      <c r="G25" s="114"/>
      <c r="H25" s="114"/>
      <c r="I25" s="114"/>
      <c r="J25" s="115"/>
      <c r="K25" s="119" t="s">
        <v>269</v>
      </c>
      <c r="L25" s="114"/>
      <c r="M25" s="114"/>
      <c r="N25" s="114"/>
      <c r="O25" s="114"/>
      <c r="P25" s="114"/>
      <c r="Q25" s="114"/>
      <c r="R25" s="114"/>
    </row>
    <row r="26" spans="7:18" x14ac:dyDescent="0.3">
      <c r="I26" s="113" t="s">
        <v>270</v>
      </c>
    </row>
  </sheetData>
  <mergeCells count="1">
    <mergeCell ref="K24:N2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2AD3-0376-4775-A3D0-94B8DE3627AD}">
  <sheetPr codeName="Sheet3"/>
  <dimension ref="A1:N81"/>
  <sheetViews>
    <sheetView zoomScale="115" zoomScaleNormal="115" workbookViewId="0">
      <selection activeCell="B2" sqref="B2"/>
    </sheetView>
  </sheetViews>
  <sheetFormatPr defaultRowHeight="14.4" x14ac:dyDescent="0.3"/>
  <cols>
    <col min="1" max="1" width="40.88671875" bestFit="1" customWidth="1"/>
    <col min="2" max="2" width="18.5546875" bestFit="1" customWidth="1"/>
    <col min="3" max="6" width="11" bestFit="1" customWidth="1"/>
    <col min="7" max="7" width="11.5546875" bestFit="1" customWidth="1"/>
    <col min="12" max="12" width="58.109375" customWidth="1"/>
  </cols>
  <sheetData>
    <row r="1" spans="1:12" x14ac:dyDescent="0.3">
      <c r="A1" s="3" t="s">
        <v>80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263</v>
      </c>
      <c r="L1" t="s">
        <v>262</v>
      </c>
    </row>
    <row r="2" spans="1:12" x14ac:dyDescent="0.3">
      <c r="A2" s="3" t="s">
        <v>0</v>
      </c>
      <c r="B2" s="3" t="s">
        <v>267</v>
      </c>
      <c r="C2" s="3"/>
      <c r="D2" s="3"/>
      <c r="E2" s="3"/>
      <c r="F2" s="3"/>
      <c r="G2" s="3"/>
      <c r="L2" t="str">
        <f ca="1">LEFT(CELL("filename"),SEARCH("\[",CELL("filename")))</f>
        <v>D:\Excel work\FINAL TEMP AND CALC FILE\Recieved Data templets\</v>
      </c>
    </row>
    <row r="3" spans="1:12" x14ac:dyDescent="0.3">
      <c r="A3" s="3" t="s">
        <v>6</v>
      </c>
      <c r="B3" s="3" t="s">
        <v>255</v>
      </c>
      <c r="C3" s="3"/>
      <c r="D3" s="3"/>
      <c r="E3" s="3"/>
      <c r="F3" s="3"/>
      <c r="G3" s="3"/>
    </row>
    <row r="4" spans="1:12" x14ac:dyDescent="0.3">
      <c r="A4" s="3" t="s">
        <v>7</v>
      </c>
      <c r="B4" s="3" t="s">
        <v>264</v>
      </c>
      <c r="C4" s="3"/>
      <c r="D4" s="3"/>
      <c r="E4" s="3"/>
      <c r="F4" s="3"/>
      <c r="G4" s="3"/>
    </row>
    <row r="5" spans="1:12" x14ac:dyDescent="0.3">
      <c r="A5" s="3" t="s">
        <v>8</v>
      </c>
      <c r="B5" s="3" t="s">
        <v>256</v>
      </c>
      <c r="C5" s="3"/>
      <c r="D5" s="3"/>
      <c r="E5" s="3"/>
      <c r="F5" s="3"/>
      <c r="G5" s="3"/>
    </row>
    <row r="6" spans="1:12" x14ac:dyDescent="0.3">
      <c r="A6" s="3" t="s">
        <v>9</v>
      </c>
      <c r="B6" s="3"/>
      <c r="C6" s="3"/>
      <c r="D6" s="3"/>
      <c r="E6" s="3"/>
      <c r="F6" s="3"/>
      <c r="G6" s="3"/>
      <c r="L6" t="s">
        <v>265</v>
      </c>
    </row>
    <row r="7" spans="1:12" x14ac:dyDescent="0.3">
      <c r="A7" s="3" t="s">
        <v>10</v>
      </c>
      <c r="B7" s="3" t="s">
        <v>157</v>
      </c>
      <c r="C7" s="3"/>
      <c r="D7" s="3"/>
      <c r="E7" s="3"/>
      <c r="F7" s="3"/>
      <c r="G7" s="3"/>
      <c r="L7" t="s">
        <v>266</v>
      </c>
    </row>
    <row r="8" spans="1:12" x14ac:dyDescent="0.3">
      <c r="A8" s="3" t="s">
        <v>11</v>
      </c>
      <c r="B8" s="3"/>
      <c r="C8" s="3"/>
      <c r="D8" s="3"/>
      <c r="E8" s="3"/>
      <c r="F8" s="3"/>
      <c r="G8" s="3"/>
    </row>
    <row r="9" spans="1:12" x14ac:dyDescent="0.3">
      <c r="A9" s="3" t="s">
        <v>12</v>
      </c>
      <c r="B9" s="3">
        <v>34954</v>
      </c>
      <c r="C9" s="3"/>
      <c r="D9" s="3"/>
      <c r="E9" s="3"/>
      <c r="F9" s="3"/>
      <c r="G9" s="3"/>
    </row>
    <row r="10" spans="1:12" x14ac:dyDescent="0.3">
      <c r="A10" s="3" t="s">
        <v>13</v>
      </c>
      <c r="B10" s="3">
        <v>1992000</v>
      </c>
      <c r="C10" s="3"/>
      <c r="D10" s="3"/>
      <c r="E10" s="3"/>
      <c r="F10" s="3"/>
      <c r="G10" s="3"/>
    </row>
    <row r="11" spans="1:12" x14ac:dyDescent="0.3">
      <c r="A11" s="3" t="s">
        <v>14</v>
      </c>
      <c r="B11" s="3">
        <v>150</v>
      </c>
      <c r="C11" s="3"/>
      <c r="D11" s="3"/>
      <c r="E11" s="3"/>
      <c r="F11" s="3"/>
      <c r="G11" s="3"/>
    </row>
    <row r="12" spans="1:12" x14ac:dyDescent="0.3">
      <c r="A12" s="3" t="s">
        <v>15</v>
      </c>
      <c r="B12" s="3" t="s">
        <v>257</v>
      </c>
      <c r="C12" s="3"/>
      <c r="D12" s="3"/>
      <c r="E12" s="3"/>
      <c r="F12" s="3"/>
      <c r="G12" s="3"/>
    </row>
    <row r="13" spans="1:12" x14ac:dyDescent="0.3">
      <c r="A13" s="3" t="s">
        <v>16</v>
      </c>
      <c r="B13" s="3">
        <v>42005</v>
      </c>
      <c r="C13" s="3"/>
      <c r="D13" s="3"/>
      <c r="E13" s="3"/>
      <c r="F13" s="3"/>
      <c r="G13" s="3"/>
    </row>
    <row r="14" spans="1:12" x14ac:dyDescent="0.3">
      <c r="A14" s="3" t="s">
        <v>17</v>
      </c>
      <c r="B14" s="3"/>
      <c r="C14" s="3"/>
      <c r="D14" s="3"/>
      <c r="E14" s="3"/>
      <c r="F14" s="3"/>
      <c r="G14" s="3"/>
    </row>
    <row r="15" spans="1:12" x14ac:dyDescent="0.3">
      <c r="A15" s="3" t="s">
        <v>18</v>
      </c>
      <c r="B15" s="3"/>
      <c r="C15" s="3">
        <v>44377</v>
      </c>
      <c r="D15" s="3">
        <v>44012</v>
      </c>
      <c r="E15" s="3">
        <v>43646</v>
      </c>
      <c r="F15" s="3">
        <v>43281</v>
      </c>
      <c r="G15" s="3">
        <v>42916</v>
      </c>
    </row>
    <row r="16" spans="1:12" x14ac:dyDescent="0.3">
      <c r="A16" s="3" t="s">
        <v>19</v>
      </c>
      <c r="B16" s="3"/>
      <c r="C16" s="3">
        <v>14449000</v>
      </c>
      <c r="D16" s="3">
        <v>11283000</v>
      </c>
      <c r="E16" s="3">
        <v>19679000</v>
      </c>
      <c r="F16" s="3">
        <v>15743000</v>
      </c>
      <c r="G16" s="3">
        <v>65025000</v>
      </c>
    </row>
    <row r="17" spans="1:7" x14ac:dyDescent="0.3">
      <c r="A17" s="3" t="s">
        <v>20</v>
      </c>
      <c r="B17" s="3"/>
      <c r="C17" s="3">
        <v>434650000</v>
      </c>
      <c r="D17" s="3">
        <v>377831000</v>
      </c>
      <c r="E17" s="3">
        <v>444088000</v>
      </c>
      <c r="F17" s="3">
        <v>360317000</v>
      </c>
      <c r="G17" s="3">
        <v>342482000</v>
      </c>
    </row>
    <row r="18" spans="1:7" x14ac:dyDescent="0.3">
      <c r="A18" s="3" t="s">
        <v>21</v>
      </c>
      <c r="B18" s="3"/>
      <c r="C18" s="3">
        <v>16632000</v>
      </c>
      <c r="D18" s="3">
        <v>18706000</v>
      </c>
      <c r="E18" s="3">
        <v>4909000</v>
      </c>
      <c r="F18" s="3">
        <v>4909000</v>
      </c>
      <c r="G18" s="3">
        <v>28565000</v>
      </c>
    </row>
    <row r="19" spans="1:7" x14ac:dyDescent="0.3">
      <c r="A19" s="3" t="s">
        <v>22</v>
      </c>
      <c r="B19" s="3"/>
      <c r="C19" s="3">
        <v>194841000</v>
      </c>
      <c r="D19" s="3">
        <v>216689000</v>
      </c>
      <c r="E19" s="3">
        <v>264420000</v>
      </c>
      <c r="F19" s="3">
        <v>316991000</v>
      </c>
      <c r="G19" s="3">
        <v>410035000</v>
      </c>
    </row>
    <row r="20" spans="1:7" x14ac:dyDescent="0.3">
      <c r="A20" s="3" t="s">
        <v>23</v>
      </c>
      <c r="B20" s="3"/>
      <c r="C20" s="3">
        <v>660572000</v>
      </c>
      <c r="D20" s="3">
        <v>624509000</v>
      </c>
      <c r="E20" s="3">
        <v>733096000</v>
      </c>
      <c r="F20" s="3">
        <v>697960000</v>
      </c>
      <c r="G20" s="3">
        <v>846107000</v>
      </c>
    </row>
    <row r="21" spans="1:7" x14ac:dyDescent="0.3">
      <c r="A21" s="3" t="s">
        <v>24</v>
      </c>
      <c r="B21" s="3"/>
      <c r="C21" s="3">
        <v>367000</v>
      </c>
      <c r="D21" s="3">
        <v>632000</v>
      </c>
      <c r="E21" s="3">
        <v>1332000</v>
      </c>
      <c r="F21" s="3">
        <v>2227000</v>
      </c>
      <c r="G21" s="3">
        <v>2663000</v>
      </c>
    </row>
    <row r="22" spans="1:7" x14ac:dyDescent="0.3">
      <c r="A22" s="3" t="s">
        <v>25</v>
      </c>
      <c r="B22" s="3"/>
      <c r="C22" s="3">
        <v>151051000</v>
      </c>
      <c r="D22" s="3">
        <v>159673000</v>
      </c>
      <c r="E22" s="3">
        <v>192370000</v>
      </c>
      <c r="F22" s="3">
        <v>216331000</v>
      </c>
      <c r="G22" s="3">
        <v>286952000</v>
      </c>
    </row>
    <row r="23" spans="1:7" x14ac:dyDescent="0.3">
      <c r="A23" s="3" t="s">
        <v>26</v>
      </c>
      <c r="B23" s="3"/>
      <c r="C23" s="3">
        <v>39310000</v>
      </c>
      <c r="D23" s="3">
        <v>40204000</v>
      </c>
      <c r="E23" s="3">
        <v>50188000</v>
      </c>
      <c r="F23" s="3">
        <v>21767000</v>
      </c>
      <c r="G23" s="3">
        <v>24107000</v>
      </c>
    </row>
    <row r="24" spans="1:7" x14ac:dyDescent="0.3">
      <c r="A24" s="3" t="s">
        <v>27</v>
      </c>
      <c r="B24" s="3"/>
      <c r="C24" s="3">
        <v>190728000</v>
      </c>
      <c r="D24" s="3">
        <v>200509000</v>
      </c>
      <c r="E24" s="3">
        <v>243890000</v>
      </c>
      <c r="F24" s="3">
        <v>240325000</v>
      </c>
      <c r="G24" s="3">
        <v>313722000</v>
      </c>
    </row>
    <row r="25" spans="1:7" x14ac:dyDescent="0.3">
      <c r="A25" s="3" t="s">
        <v>28</v>
      </c>
      <c r="B25" s="3"/>
      <c r="C25" s="3">
        <v>851300000</v>
      </c>
      <c r="D25" s="3">
        <v>825018000</v>
      </c>
      <c r="E25" s="3">
        <v>976986000</v>
      </c>
      <c r="F25" s="3">
        <v>938285000</v>
      </c>
      <c r="G25" s="3">
        <v>1159829000</v>
      </c>
    </row>
    <row r="26" spans="1:7" x14ac:dyDescent="0.3">
      <c r="A26" s="3" t="s">
        <v>13</v>
      </c>
      <c r="B26" s="3"/>
      <c r="C26" s="3">
        <v>211992000</v>
      </c>
      <c r="D26" s="3">
        <v>211992000</v>
      </c>
      <c r="E26" s="3">
        <v>211992000</v>
      </c>
      <c r="F26" s="3">
        <v>211992000</v>
      </c>
      <c r="G26" s="3">
        <v>211992000</v>
      </c>
    </row>
    <row r="27" spans="1:7" x14ac:dyDescent="0.3">
      <c r="A27" s="3" t="s">
        <v>29</v>
      </c>
      <c r="B27" s="3"/>
      <c r="C27" s="3">
        <v>-3075000</v>
      </c>
      <c r="D27" s="3">
        <v>7158000</v>
      </c>
      <c r="E27" s="3">
        <v>28850000</v>
      </c>
      <c r="F27" s="3">
        <v>11458000</v>
      </c>
      <c r="G27" s="3">
        <v>289684000</v>
      </c>
    </row>
    <row r="28" spans="1:7" x14ac:dyDescent="0.3">
      <c r="A28" s="3" t="s">
        <v>30</v>
      </c>
      <c r="B28" s="3"/>
      <c r="C28" s="3">
        <v>208917000</v>
      </c>
      <c r="D28" s="3">
        <v>219150000</v>
      </c>
      <c r="E28" s="3">
        <v>240842000</v>
      </c>
      <c r="F28" s="3">
        <v>223450000</v>
      </c>
      <c r="G28" s="3">
        <v>501676000</v>
      </c>
    </row>
    <row r="29" spans="1:7" x14ac:dyDescent="0.3">
      <c r="A29" s="3" t="s">
        <v>31</v>
      </c>
      <c r="B29" s="3"/>
      <c r="C29" s="3">
        <v>259095000</v>
      </c>
      <c r="D29" s="3">
        <v>211245000</v>
      </c>
      <c r="E29" s="3">
        <v>288877000</v>
      </c>
      <c r="F29" s="3">
        <v>338496000</v>
      </c>
      <c r="G29" s="3">
        <v>103477000</v>
      </c>
    </row>
    <row r="30" spans="1:7" x14ac:dyDescent="0.3">
      <c r="A30" s="3" t="s">
        <v>32</v>
      </c>
      <c r="B30" s="3"/>
      <c r="C30" s="3">
        <v>187531000</v>
      </c>
      <c r="D30" s="3">
        <v>198185000</v>
      </c>
      <c r="E30" s="3">
        <v>185208000</v>
      </c>
      <c r="F30" s="3">
        <v>220608000</v>
      </c>
      <c r="G30" s="3">
        <v>379335000</v>
      </c>
    </row>
    <row r="31" spans="1:7" x14ac:dyDescent="0.3">
      <c r="A31" s="3" t="s">
        <v>33</v>
      </c>
      <c r="B31" s="3"/>
      <c r="C31" s="3">
        <v>140051000</v>
      </c>
      <c r="D31" s="3">
        <v>137657000</v>
      </c>
      <c r="E31" s="3">
        <v>186594000</v>
      </c>
      <c r="F31" s="3">
        <v>105666000</v>
      </c>
      <c r="G31" s="3">
        <v>97016000</v>
      </c>
    </row>
    <row r="32" spans="1:7" x14ac:dyDescent="0.3">
      <c r="A32" s="3" t="s">
        <v>34</v>
      </c>
      <c r="B32" s="3"/>
      <c r="C32" s="3">
        <v>586677000</v>
      </c>
      <c r="D32" s="3">
        <v>547087000</v>
      </c>
      <c r="E32" s="3">
        <v>660679000</v>
      </c>
      <c r="F32" s="3">
        <v>664770000</v>
      </c>
      <c r="G32" s="3">
        <v>579828000</v>
      </c>
    </row>
    <row r="33" spans="1:14" x14ac:dyDescent="0.3">
      <c r="A33" s="3" t="s">
        <v>35</v>
      </c>
      <c r="B33" s="3"/>
      <c r="C33" s="3">
        <v>55706000</v>
      </c>
      <c r="D33" s="3">
        <v>58781000</v>
      </c>
      <c r="E33" s="3">
        <v>75465000</v>
      </c>
      <c r="F33" s="3">
        <v>50065000</v>
      </c>
      <c r="G33" s="3">
        <v>78305000</v>
      </c>
    </row>
    <row r="34" spans="1:14" x14ac:dyDescent="0.3">
      <c r="A34" s="3" t="s">
        <v>36</v>
      </c>
      <c r="B34" s="3"/>
      <c r="C34" s="3">
        <v>851300000</v>
      </c>
      <c r="D34" s="3">
        <v>825018000</v>
      </c>
      <c r="E34" s="3">
        <v>976986000</v>
      </c>
      <c r="F34" s="3">
        <v>938285000</v>
      </c>
      <c r="G34" s="3">
        <v>1159809000</v>
      </c>
    </row>
    <row r="35" spans="1:14" x14ac:dyDescent="0.3">
      <c r="A35" s="3" t="s">
        <v>37</v>
      </c>
      <c r="B35" s="3"/>
      <c r="C35" s="3"/>
      <c r="D35" s="3"/>
      <c r="E35" s="3"/>
      <c r="F35" s="3"/>
      <c r="G35" s="3"/>
    </row>
    <row r="36" spans="1:14" x14ac:dyDescent="0.3">
      <c r="A36" s="3" t="s">
        <v>38</v>
      </c>
      <c r="B36" s="3"/>
      <c r="C36" s="3"/>
      <c r="D36" s="3"/>
      <c r="E36" s="3"/>
      <c r="F36" s="3"/>
      <c r="G36" s="3"/>
    </row>
    <row r="37" spans="1:14" x14ac:dyDescent="0.3">
      <c r="A37" s="3" t="s">
        <v>39</v>
      </c>
      <c r="B37" s="3"/>
      <c r="C37" s="3">
        <v>103654000</v>
      </c>
      <c r="D37" s="3">
        <v>254784000</v>
      </c>
      <c r="E37" s="3">
        <v>319730000</v>
      </c>
      <c r="F37" s="3">
        <v>453507000</v>
      </c>
      <c r="G37" s="3">
        <v>712137000</v>
      </c>
      <c r="I37" s="61">
        <f>IF(pathaddress_2[[#This Row],[Column4]]&lt;&gt;"",1,0)</f>
        <v>1</v>
      </c>
      <c r="J37" s="61">
        <f>IF(pathaddress_2[[#This Row],[Column5]]&lt;&gt;"",1,0)</f>
        <v>1</v>
      </c>
      <c r="K37" s="61">
        <f>IF(pathaddress_2[[#This Row],[Column6]]&lt;&gt;"",1,0)</f>
        <v>1</v>
      </c>
      <c r="L37" s="61">
        <f>IF(pathaddress_2[[#This Row],[Column7]]&lt;&gt;"",1,0)</f>
        <v>1</v>
      </c>
      <c r="M37" s="61">
        <f>IF(pathaddress_2[[#This Row],[Column8]]&lt;&gt;"",1,0)</f>
        <v>1</v>
      </c>
      <c r="N37" s="62">
        <f>SUM(I37:M37)</f>
        <v>5</v>
      </c>
    </row>
    <row r="38" spans="1:14" x14ac:dyDescent="0.3">
      <c r="A38" s="3" t="s">
        <v>40</v>
      </c>
      <c r="B38" s="3"/>
      <c r="C38" s="3">
        <v>101103000</v>
      </c>
      <c r="D38" s="3">
        <v>234699000</v>
      </c>
      <c r="E38" s="3">
        <v>258114000</v>
      </c>
      <c r="F38" s="3">
        <v>292006000</v>
      </c>
      <c r="G38" s="3">
        <v>435022000</v>
      </c>
    </row>
    <row r="39" spans="1:14" x14ac:dyDescent="0.3">
      <c r="A39" s="3" t="s">
        <v>41</v>
      </c>
      <c r="B39" s="3"/>
      <c r="C39" s="3">
        <v>101103000</v>
      </c>
      <c r="D39" s="3">
        <v>234699000</v>
      </c>
      <c r="E39" s="3">
        <v>258114000</v>
      </c>
      <c r="F39" s="3">
        <v>292006000</v>
      </c>
      <c r="G39" s="3">
        <v>435022000</v>
      </c>
    </row>
    <row r="40" spans="1:14" x14ac:dyDescent="0.3">
      <c r="A40" s="3" t="s">
        <v>42</v>
      </c>
      <c r="B40" s="3"/>
      <c r="C40" s="3">
        <v>2551000</v>
      </c>
      <c r="D40" s="3">
        <v>20085000</v>
      </c>
      <c r="E40" s="3">
        <v>61616000</v>
      </c>
      <c r="F40" s="3">
        <v>161501000</v>
      </c>
      <c r="G40" s="3">
        <v>277115000</v>
      </c>
    </row>
    <row r="41" spans="1:14" x14ac:dyDescent="0.3">
      <c r="A41" s="3" t="s">
        <v>43</v>
      </c>
      <c r="B41" s="3"/>
      <c r="C41" s="3"/>
      <c r="D41" s="3"/>
      <c r="E41" s="3"/>
      <c r="F41" s="3"/>
      <c r="G41" s="3"/>
    </row>
    <row r="42" spans="1:14" x14ac:dyDescent="0.3">
      <c r="A42" s="3" t="s">
        <v>44</v>
      </c>
      <c r="B42" s="3"/>
      <c r="C42" s="3"/>
      <c r="D42" s="3"/>
      <c r="E42" s="3"/>
      <c r="F42" s="3"/>
      <c r="G42" s="3"/>
    </row>
    <row r="43" spans="1:14" x14ac:dyDescent="0.3">
      <c r="A43" s="3" t="s">
        <v>45</v>
      </c>
      <c r="B43" s="3"/>
      <c r="C43" s="3"/>
      <c r="D43" s="3"/>
      <c r="E43" s="3"/>
      <c r="F43" s="3"/>
      <c r="G43" s="3"/>
    </row>
    <row r="44" spans="1:14" x14ac:dyDescent="0.3">
      <c r="A44" s="3" t="s">
        <v>46</v>
      </c>
      <c r="B44" s="3"/>
      <c r="C44" s="3">
        <v>30106000</v>
      </c>
      <c r="D44" s="3">
        <v>61774000</v>
      </c>
      <c r="E44" s="3">
        <v>63647000</v>
      </c>
      <c r="F44" s="3">
        <v>224490000</v>
      </c>
      <c r="G44" s="3">
        <v>194663000</v>
      </c>
    </row>
    <row r="45" spans="1:14" x14ac:dyDescent="0.3">
      <c r="A45" s="3" t="s">
        <v>47</v>
      </c>
      <c r="B45" s="3"/>
      <c r="C45" s="3">
        <v>-27555000</v>
      </c>
      <c r="D45" s="3">
        <v>-41689000</v>
      </c>
      <c r="E45" s="3">
        <v>-2031000</v>
      </c>
      <c r="F45" s="3">
        <v>-62989000</v>
      </c>
      <c r="G45" s="3">
        <v>82452000</v>
      </c>
    </row>
    <row r="46" spans="1:14" x14ac:dyDescent="0.3">
      <c r="A46" s="3" t="s">
        <v>48</v>
      </c>
      <c r="B46" s="3"/>
      <c r="C46" s="3">
        <v>17322000</v>
      </c>
      <c r="D46" s="3">
        <v>19997000</v>
      </c>
      <c r="E46" s="3">
        <v>-1762000</v>
      </c>
      <c r="F46" s="3">
        <v>-62159000</v>
      </c>
      <c r="G46" s="3">
        <v>22342000</v>
      </c>
    </row>
    <row r="47" spans="1:14" x14ac:dyDescent="0.3">
      <c r="A47" s="3" t="s">
        <v>49</v>
      </c>
      <c r="B47" s="3"/>
      <c r="C47" s="3"/>
      <c r="D47" s="3"/>
      <c r="E47" s="3"/>
      <c r="F47" s="3"/>
      <c r="G47" s="3"/>
    </row>
    <row r="48" spans="1:14" x14ac:dyDescent="0.3">
      <c r="A48" s="3" t="s">
        <v>50</v>
      </c>
      <c r="B48" s="3"/>
      <c r="C48" s="3"/>
      <c r="D48" s="3"/>
      <c r="E48" s="3"/>
      <c r="F48" s="3"/>
      <c r="G48" s="3"/>
    </row>
    <row r="49" spans="1:7" x14ac:dyDescent="0.3">
      <c r="A49" s="3" t="s">
        <v>51</v>
      </c>
      <c r="B49" s="3"/>
      <c r="C49" s="3"/>
      <c r="D49" s="3"/>
      <c r="E49" s="3"/>
      <c r="F49" s="3"/>
      <c r="G49" s="3"/>
    </row>
    <row r="50" spans="1:7" x14ac:dyDescent="0.3">
      <c r="A50" s="3" t="s">
        <v>52</v>
      </c>
      <c r="B50" s="3"/>
      <c r="C50" s="3"/>
      <c r="D50" s="3"/>
      <c r="E50" s="3"/>
      <c r="F50" s="3"/>
      <c r="G50" s="3"/>
    </row>
    <row r="51" spans="1:7" x14ac:dyDescent="0.3">
      <c r="A51" s="3" t="s">
        <v>53</v>
      </c>
      <c r="B51" s="3"/>
      <c r="C51" s="3">
        <v>-10233000</v>
      </c>
      <c r="D51" s="3">
        <v>-21692000</v>
      </c>
      <c r="E51" s="3">
        <v>-3793000</v>
      </c>
      <c r="F51" s="3">
        <v>-125148000</v>
      </c>
      <c r="G51" s="3">
        <v>104794000</v>
      </c>
    </row>
    <row r="52" spans="1:7" x14ac:dyDescent="0.3">
      <c r="A52" s="3" t="s">
        <v>54</v>
      </c>
      <c r="B52" s="3"/>
      <c r="C52" s="3">
        <v>-10233000</v>
      </c>
      <c r="D52" s="3">
        <v>-21692000</v>
      </c>
      <c r="E52" s="3">
        <v>-3793000</v>
      </c>
      <c r="F52" s="3">
        <v>-125148000</v>
      </c>
      <c r="G52" s="3">
        <v>104794000</v>
      </c>
    </row>
    <row r="53" spans="1:7" x14ac:dyDescent="0.3">
      <c r="A53" s="3" t="s">
        <v>55</v>
      </c>
      <c r="B53" s="3"/>
      <c r="C53" s="3"/>
      <c r="D53" s="3"/>
      <c r="E53" s="3"/>
      <c r="F53" s="3"/>
      <c r="G53" s="3"/>
    </row>
    <row r="54" spans="1:7" x14ac:dyDescent="0.3">
      <c r="A54" s="3" t="s">
        <v>56</v>
      </c>
      <c r="B54" s="3"/>
      <c r="C54" s="3">
        <v>-10233000</v>
      </c>
      <c r="D54" s="3">
        <v>-21692000</v>
      </c>
      <c r="E54" s="3">
        <v>-3793000</v>
      </c>
      <c r="F54" s="3">
        <v>-125148000</v>
      </c>
      <c r="G54" s="3">
        <v>104794000</v>
      </c>
    </row>
    <row r="55" spans="1:7" x14ac:dyDescent="0.3">
      <c r="A55" s="3" t="s">
        <v>57</v>
      </c>
      <c r="B55" s="3"/>
      <c r="C55" s="3">
        <v>-78706000</v>
      </c>
      <c r="D55" s="3">
        <v>130199000</v>
      </c>
      <c r="E55" s="3">
        <v>-21105000</v>
      </c>
      <c r="F55" s="3">
        <v>-202809000</v>
      </c>
      <c r="G55" s="3">
        <v>-139443000</v>
      </c>
    </row>
    <row r="56" spans="1:7" x14ac:dyDescent="0.3">
      <c r="A56" s="3" t="s">
        <v>58</v>
      </c>
      <c r="B56" s="3"/>
      <c r="C56" s="3">
        <v>33937000</v>
      </c>
      <c r="D56" s="3">
        <v>-3221000</v>
      </c>
      <c r="E56" s="3">
        <v>-2062000</v>
      </c>
      <c r="F56" s="3">
        <v>-16795000</v>
      </c>
      <c r="G56" s="3">
        <v>-17255000</v>
      </c>
    </row>
    <row r="57" spans="1:7" x14ac:dyDescent="0.3">
      <c r="A57" s="3" t="s">
        <v>59</v>
      </c>
      <c r="B57" s="3"/>
      <c r="C57" s="3">
        <v>-5155000</v>
      </c>
      <c r="D57" s="3">
        <v>-35549000</v>
      </c>
      <c r="E57" s="3">
        <v>72786000</v>
      </c>
      <c r="F57" s="3">
        <v>195948000</v>
      </c>
      <c r="G57" s="3">
        <v>81264000</v>
      </c>
    </row>
    <row r="58" spans="1:7" x14ac:dyDescent="0.3">
      <c r="A58" s="3" t="s">
        <v>60</v>
      </c>
      <c r="B58" s="3"/>
      <c r="C58" s="3">
        <v>-192539000</v>
      </c>
      <c r="D58" s="3">
        <v>-283968000</v>
      </c>
      <c r="E58" s="3">
        <v>-333587000</v>
      </c>
      <c r="F58" s="3">
        <v>28565000</v>
      </c>
      <c r="G58" s="3">
        <v>103999000</v>
      </c>
    </row>
    <row r="59" spans="1:7" x14ac:dyDescent="0.3">
      <c r="A59" s="3" t="s">
        <v>61</v>
      </c>
      <c r="B59" s="3"/>
      <c r="C59" s="3">
        <v>-49924000</v>
      </c>
      <c r="D59" s="3">
        <v>91429000</v>
      </c>
      <c r="E59" s="3">
        <v>49619000</v>
      </c>
      <c r="F59" s="3">
        <v>-23656000</v>
      </c>
      <c r="G59" s="3">
        <v>-75434000</v>
      </c>
    </row>
    <row r="60" spans="1:7" x14ac:dyDescent="0.3">
      <c r="A60" s="3" t="s">
        <v>62</v>
      </c>
      <c r="B60" s="3"/>
      <c r="C60" s="3">
        <v>-242463000</v>
      </c>
      <c r="D60" s="3">
        <v>-192539000</v>
      </c>
      <c r="E60" s="3">
        <v>-283968000</v>
      </c>
      <c r="F60" s="3">
        <v>4909000</v>
      </c>
      <c r="G60" s="3">
        <v>28565000</v>
      </c>
    </row>
    <row r="61" spans="1:7" x14ac:dyDescent="0.3">
      <c r="A61" s="3" t="s">
        <v>63</v>
      </c>
      <c r="B61" s="3"/>
      <c r="C61" s="3"/>
      <c r="D61" s="3"/>
      <c r="E61" s="3"/>
      <c r="F61" s="3"/>
      <c r="G61" s="3"/>
    </row>
    <row r="62" spans="1:7" x14ac:dyDescent="0.3">
      <c r="A62" s="3" t="s">
        <v>64</v>
      </c>
      <c r="B62" s="3"/>
      <c r="C62" s="3"/>
      <c r="D62" s="3"/>
      <c r="E62" s="3"/>
      <c r="F62" s="3"/>
      <c r="G62" s="3"/>
    </row>
    <row r="63" spans="1:7" x14ac:dyDescent="0.3">
      <c r="A63" s="3" t="s">
        <v>65</v>
      </c>
      <c r="B63" s="3"/>
      <c r="C63" s="3"/>
      <c r="D63" s="3"/>
      <c r="E63" s="3"/>
      <c r="F63" s="3"/>
      <c r="G63" s="3"/>
    </row>
    <row r="64" spans="1:7" x14ac:dyDescent="0.3">
      <c r="A64" s="3" t="s">
        <v>66</v>
      </c>
      <c r="B64" s="3"/>
      <c r="C64" s="3"/>
      <c r="D64" s="3"/>
      <c r="E64" s="3"/>
      <c r="F64" s="3"/>
      <c r="G64" s="3"/>
    </row>
    <row r="65" spans="1:7" x14ac:dyDescent="0.3">
      <c r="A65" s="3" t="s">
        <v>22</v>
      </c>
      <c r="B65" s="3"/>
      <c r="C65" s="3"/>
      <c r="D65" s="3"/>
      <c r="E65" s="3"/>
      <c r="F65" s="3"/>
      <c r="G65" s="3"/>
    </row>
    <row r="66" spans="1:7" x14ac:dyDescent="0.3">
      <c r="A66" s="3" t="s">
        <v>67</v>
      </c>
      <c r="B66" s="3"/>
      <c r="C66" s="3"/>
      <c r="D66" s="3"/>
      <c r="E66" s="3"/>
      <c r="F66" s="3"/>
      <c r="G66" s="3"/>
    </row>
    <row r="67" spans="1:7" x14ac:dyDescent="0.3">
      <c r="A67" s="3" t="s">
        <v>68</v>
      </c>
      <c r="B67" s="3"/>
      <c r="C67" s="3"/>
      <c r="D67" s="3"/>
      <c r="E67" s="3"/>
      <c r="F67" s="3"/>
      <c r="G67" s="3"/>
    </row>
    <row r="68" spans="1:7" x14ac:dyDescent="0.3">
      <c r="A68" s="3" t="s">
        <v>69</v>
      </c>
      <c r="B68" s="3"/>
      <c r="C68" s="3"/>
      <c r="D68" s="3"/>
      <c r="E68" s="3"/>
      <c r="F68" s="3"/>
      <c r="G68" s="3"/>
    </row>
    <row r="69" spans="1:7" x14ac:dyDescent="0.3">
      <c r="A69" s="3" t="s">
        <v>70</v>
      </c>
      <c r="B69" s="3"/>
      <c r="C69" s="3"/>
      <c r="D69" s="3"/>
      <c r="E69" s="3"/>
      <c r="F69" s="3"/>
      <c r="G69" s="3"/>
    </row>
    <row r="70" spans="1:7" x14ac:dyDescent="0.3">
      <c r="A70" s="3" t="s">
        <v>71</v>
      </c>
      <c r="B70" s="3"/>
      <c r="C70" s="3"/>
      <c r="D70" s="3"/>
      <c r="E70" s="3"/>
      <c r="F70" s="3"/>
      <c r="G70" s="3"/>
    </row>
    <row r="71" spans="1:7" x14ac:dyDescent="0.3">
      <c r="A71" s="3" t="s">
        <v>72</v>
      </c>
      <c r="B71" s="3"/>
      <c r="C71" s="3"/>
      <c r="D71" s="3"/>
      <c r="E71" s="3"/>
      <c r="F71" s="3"/>
      <c r="G71" s="3"/>
    </row>
    <row r="72" spans="1:7" x14ac:dyDescent="0.3">
      <c r="A72" s="3" t="s">
        <v>73</v>
      </c>
      <c r="B72" s="3"/>
      <c r="C72" s="3"/>
      <c r="D72" s="3"/>
      <c r="E72" s="3"/>
      <c r="F72" s="3"/>
      <c r="G72" s="3"/>
    </row>
    <row r="73" spans="1:7" x14ac:dyDescent="0.3">
      <c r="A73" s="3" t="s">
        <v>74</v>
      </c>
      <c r="B73" s="3"/>
      <c r="C73" s="3"/>
      <c r="D73" s="3"/>
      <c r="E73" s="3"/>
      <c r="F73" s="3"/>
      <c r="G73" s="3"/>
    </row>
    <row r="74" spans="1:7" x14ac:dyDescent="0.3">
      <c r="A74" s="3" t="s">
        <v>75</v>
      </c>
      <c r="B74" s="3"/>
      <c r="C74" s="3"/>
      <c r="D74" s="3"/>
      <c r="E74" s="3"/>
      <c r="F74" s="3"/>
      <c r="G74" s="3"/>
    </row>
    <row r="75" spans="1:7" x14ac:dyDescent="0.3">
      <c r="A75" s="3" t="s">
        <v>76</v>
      </c>
      <c r="B75" s="3"/>
      <c r="C75" s="3"/>
      <c r="D75" s="3"/>
      <c r="E75" s="3"/>
      <c r="F75" s="3"/>
      <c r="G75" s="3"/>
    </row>
    <row r="76" spans="1:7" x14ac:dyDescent="0.3">
      <c r="A76" s="3" t="s">
        <v>77</v>
      </c>
      <c r="B76" s="3"/>
      <c r="C76" s="3"/>
      <c r="D76" s="3"/>
      <c r="E76" s="3"/>
      <c r="F76" s="3"/>
      <c r="G76" s="3"/>
    </row>
    <row r="77" spans="1:7" x14ac:dyDescent="0.3">
      <c r="A77" s="3" t="s">
        <v>78</v>
      </c>
      <c r="B77" s="3"/>
      <c r="C77" s="3"/>
      <c r="D77" s="3"/>
      <c r="E77" s="3"/>
      <c r="F77" s="3"/>
      <c r="G77" s="3"/>
    </row>
    <row r="78" spans="1:7" x14ac:dyDescent="0.3">
      <c r="A78" s="3" t="s">
        <v>79</v>
      </c>
      <c r="B78" s="3"/>
      <c r="C78" s="3"/>
      <c r="D78" s="3"/>
      <c r="E78" s="3"/>
      <c r="F78" s="3"/>
      <c r="G78" s="3"/>
    </row>
    <row r="79" spans="1:7" x14ac:dyDescent="0.3">
      <c r="A79" s="3" t="s">
        <v>129</v>
      </c>
      <c r="B79" s="3"/>
      <c r="C79" s="3"/>
      <c r="D79" s="3"/>
      <c r="E79" s="3"/>
      <c r="F79" s="3"/>
      <c r="G79" s="3"/>
    </row>
    <row r="80" spans="1:7" x14ac:dyDescent="0.3">
      <c r="A80" s="3" t="s">
        <v>14</v>
      </c>
      <c r="B80" s="3"/>
      <c r="C80" s="3">
        <v>1</v>
      </c>
      <c r="D80" s="3">
        <v>1</v>
      </c>
      <c r="E80" s="3">
        <v>1</v>
      </c>
      <c r="F80" s="3">
        <v>1</v>
      </c>
      <c r="G80" s="3">
        <v>1</v>
      </c>
    </row>
    <row r="81" spans="1:7" x14ac:dyDescent="0.3">
      <c r="A81" s="3" t="s">
        <v>258</v>
      </c>
      <c r="B81" s="3"/>
      <c r="C81" s="3">
        <v>211992000</v>
      </c>
      <c r="D81" s="3">
        <v>211992000</v>
      </c>
      <c r="E81" s="3">
        <v>211992000</v>
      </c>
      <c r="F81" s="3">
        <v>211992000</v>
      </c>
      <c r="G81" s="3">
        <v>211992000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89EA9-3216-4BCC-963B-B1FD75602400}">
  <sheetPr codeName="Sheet4"/>
  <dimension ref="A1:I67"/>
  <sheetViews>
    <sheetView workbookViewId="0">
      <selection activeCell="C33" sqref="C33"/>
    </sheetView>
  </sheetViews>
  <sheetFormatPr defaultRowHeight="14.4" x14ac:dyDescent="0.3"/>
  <cols>
    <col min="1" max="1" width="51.21875" customWidth="1"/>
    <col min="3" max="7" width="35.88671875" customWidth="1"/>
  </cols>
  <sheetData>
    <row r="1" spans="1:9" s="3" customFormat="1" x14ac:dyDescent="0.3">
      <c r="A1" s="57" t="s">
        <v>128</v>
      </c>
      <c r="C1" s="93">
        <f>data!C15</f>
        <v>44377</v>
      </c>
      <c r="D1" s="93">
        <f>data!D15</f>
        <v>44012</v>
      </c>
      <c r="E1" s="93">
        <f>data!E15</f>
        <v>43646</v>
      </c>
      <c r="F1" s="93">
        <f>data!F15</f>
        <v>43281</v>
      </c>
      <c r="G1" s="93">
        <f>data!G15</f>
        <v>42916</v>
      </c>
    </row>
    <row r="2" spans="1:9" x14ac:dyDescent="0.3">
      <c r="A2" s="2" t="s">
        <v>259</v>
      </c>
      <c r="C2" s="1">
        <f>+data!C20-data!C32</f>
        <v>73895000</v>
      </c>
      <c r="D2" s="1">
        <f>data!D20-data!D32</f>
        <v>77422000</v>
      </c>
      <c r="E2" s="1">
        <f>data!E20-data!E32</f>
        <v>72417000</v>
      </c>
      <c r="F2" s="1">
        <f>data!F20-data!F32</f>
        <v>33190000</v>
      </c>
      <c r="G2" s="1">
        <f>data!G20-data!G32</f>
        <v>266279000</v>
      </c>
    </row>
    <row r="3" spans="1:9" x14ac:dyDescent="0.3">
      <c r="A3" s="2" t="s">
        <v>81</v>
      </c>
      <c r="C3" s="1">
        <f>+C2*0.1</f>
        <v>7389500</v>
      </c>
      <c r="D3" s="1">
        <f t="shared" ref="D3:G3" si="0">D2*0.1</f>
        <v>7742200</v>
      </c>
      <c r="E3" s="1">
        <f t="shared" si="0"/>
        <v>7241700</v>
      </c>
      <c r="F3" s="1">
        <f t="shared" si="0"/>
        <v>3319000</v>
      </c>
      <c r="G3" s="1">
        <f t="shared" si="0"/>
        <v>26627900</v>
      </c>
      <c r="H3" s="1"/>
      <c r="I3" s="1"/>
    </row>
    <row r="4" spans="1:9" ht="15" thickBot="1" x14ac:dyDescent="0.35">
      <c r="A4" s="3"/>
    </row>
    <row r="5" spans="1:9" ht="15" thickBot="1" x14ac:dyDescent="0.35">
      <c r="A5" s="52" t="s">
        <v>82</v>
      </c>
    </row>
    <row r="6" spans="1:9" ht="15" thickBot="1" x14ac:dyDescent="0.35"/>
    <row r="7" spans="1:9" ht="15" thickBot="1" x14ac:dyDescent="0.35">
      <c r="A7" s="56" t="s">
        <v>83</v>
      </c>
    </row>
    <row r="8" spans="1:9" x14ac:dyDescent="0.3">
      <c r="A8" s="53" t="s">
        <v>84</v>
      </c>
      <c r="C8" s="58">
        <f>+data!C54/data!C28</f>
        <v>-4.8981174341963557E-2</v>
      </c>
      <c r="D8" s="58">
        <f>+data!D54/data!D28</f>
        <v>-9.8982432124115907E-2</v>
      </c>
      <c r="E8" s="58">
        <f>+data!E54/data!E28</f>
        <v>-1.574891422592405E-2</v>
      </c>
      <c r="F8" s="58">
        <f>+data!F54/data!F28</f>
        <v>-0.56007160438576864</v>
      </c>
      <c r="G8" s="58">
        <f>+data!G54/data!G28</f>
        <v>0.20888780806735821</v>
      </c>
    </row>
    <row r="9" spans="1:9" x14ac:dyDescent="0.3">
      <c r="A9" s="2" t="s">
        <v>85</v>
      </c>
      <c r="C9" s="10">
        <f>+data!C54/data!C37</f>
        <v>-9.8722673509946554E-2</v>
      </c>
      <c r="D9" s="10">
        <f>+data!D54/data!D37</f>
        <v>-8.5138784225069083E-2</v>
      </c>
      <c r="E9" s="10">
        <f>+data!E54/data!E37</f>
        <v>-1.186313451975104E-2</v>
      </c>
      <c r="F9" s="10">
        <f>+data!F54/data!F37</f>
        <v>-0.2759560491899794</v>
      </c>
      <c r="G9" s="10">
        <f>+data!G54/data!G37</f>
        <v>0.14715426947342997</v>
      </c>
    </row>
    <row r="10" spans="1:9" x14ac:dyDescent="0.3">
      <c r="A10" s="2" t="s">
        <v>86</v>
      </c>
      <c r="C10" s="8">
        <f>+data!C45/data!C37</f>
        <v>-0.26583634013159163</v>
      </c>
      <c r="D10" s="8">
        <f>+data!D45/data!D37</f>
        <v>-0.16362487440341622</v>
      </c>
      <c r="E10" s="8">
        <f>+data!E45/data!E37</f>
        <v>-6.3522346980264596E-3</v>
      </c>
      <c r="F10" s="8">
        <f>+data!F45/data!F37</f>
        <v>-0.13889311521101108</v>
      </c>
      <c r="G10" s="8">
        <f>+data!G45/data!G37</f>
        <v>0.11578109268300903</v>
      </c>
    </row>
    <row r="11" spans="1:9" ht="15" thickBot="1" x14ac:dyDescent="0.35"/>
    <row r="12" spans="1:9" ht="15" thickBot="1" x14ac:dyDescent="0.35">
      <c r="A12" s="56" t="s">
        <v>87</v>
      </c>
    </row>
    <row r="13" spans="1:9" x14ac:dyDescent="0.3">
      <c r="A13" s="53" t="s">
        <v>88</v>
      </c>
      <c r="C13" s="60">
        <f>+data!C20/data!C32</f>
        <v>1.1259551678351121</v>
      </c>
      <c r="D13" s="60">
        <f>+data!D20/data!D32</f>
        <v>1.1415167971456093</v>
      </c>
      <c r="E13" s="60">
        <f>+data!E20/data!E32</f>
        <v>1.1096099618725583</v>
      </c>
      <c r="F13" s="60">
        <f>+data!F20/data!F32</f>
        <v>1.0499270424357297</v>
      </c>
      <c r="G13" s="60">
        <f>+data!G20/data!G32</f>
        <v>1.4592379119325041</v>
      </c>
    </row>
    <row r="14" spans="1:9" x14ac:dyDescent="0.3">
      <c r="A14" s="2" t="s">
        <v>89</v>
      </c>
      <c r="C14" s="60">
        <f>+(data!C20-data!C19)/data!C32</f>
        <v>0.79384567658183292</v>
      </c>
      <c r="D14" s="60">
        <f>+(data!D20-data!D19)/data!D32</f>
        <v>0.74543902523730232</v>
      </c>
      <c r="E14" s="60">
        <f>+(data!E20-data!E19)/data!E32</f>
        <v>0.70938534447136958</v>
      </c>
      <c r="F14" s="60">
        <f>+(data!F20-data!F19)/data!F32</f>
        <v>0.57308392376310602</v>
      </c>
      <c r="G14" s="60">
        <f>+(data!G20-data!G19)/data!G32</f>
        <v>0.7520713039039163</v>
      </c>
    </row>
    <row r="15" spans="1:9" ht="15" thickBot="1" x14ac:dyDescent="0.35">
      <c r="A15" s="3"/>
    </row>
    <row r="16" spans="1:9" ht="15" thickBot="1" x14ac:dyDescent="0.35">
      <c r="A16" s="56" t="s">
        <v>90</v>
      </c>
    </row>
    <row r="17" spans="1:7" x14ac:dyDescent="0.3">
      <c r="A17" s="53" t="s">
        <v>91</v>
      </c>
      <c r="C17" s="1">
        <f>+data!C37/data!C25</f>
        <v>0.12175966169387994</v>
      </c>
      <c r="D17" s="1">
        <f>+data!D37/data!D25</f>
        <v>0.30882235296684435</v>
      </c>
      <c r="E17" s="1">
        <f>+data!E37/data!E25</f>
        <v>0.32726159842618013</v>
      </c>
      <c r="F17" s="1">
        <f>+data!F37/data!F25</f>
        <v>0.48333608658350075</v>
      </c>
      <c r="G17" s="1">
        <f>+data!G37/data!G25</f>
        <v>0.61400171921895386</v>
      </c>
    </row>
    <row r="18" spans="1:7" x14ac:dyDescent="0.3">
      <c r="A18" s="2" t="s">
        <v>92</v>
      </c>
    </row>
    <row r="19" spans="1:7" ht="15" thickBot="1" x14ac:dyDescent="0.35"/>
    <row r="20" spans="1:7" ht="15" thickBot="1" x14ac:dyDescent="0.35">
      <c r="A20" s="56" t="s">
        <v>93</v>
      </c>
    </row>
    <row r="21" spans="1:7" x14ac:dyDescent="0.3">
      <c r="A21" s="53" t="s">
        <v>94</v>
      </c>
      <c r="C21" s="1">
        <f>+(data!C32+data!C31)/data!C25</f>
        <v>0.85366850698931052</v>
      </c>
      <c r="D21" s="1">
        <f>+(data!D32+data!D31)/data!D25</f>
        <v>0.8299746187355912</v>
      </c>
      <c r="E21" s="1">
        <f>+(data!E32+data!E31)/data!E25</f>
        <v>0.86723146493399084</v>
      </c>
      <c r="F21" s="1">
        <f>+(data!F32+data!F31)/data!F25</f>
        <v>0.82111085650948268</v>
      </c>
      <c r="G21" s="1">
        <f>+(data!G32+data!G31)/data!G25</f>
        <v>0.58357223349304077</v>
      </c>
    </row>
    <row r="22" spans="1:7" x14ac:dyDescent="0.3">
      <c r="A22" s="53" t="s">
        <v>95</v>
      </c>
      <c r="C22" s="1">
        <f>+(data!C32+data!C33)/data!C28</f>
        <v>3.0748239731568039</v>
      </c>
      <c r="D22" s="1">
        <f>+(data!D32+data!D33)/data!D28</f>
        <v>2.7646269678302531</v>
      </c>
      <c r="E22" s="1">
        <f>+(data!E32+data!E33)/data!E28</f>
        <v>3.0565432939437476</v>
      </c>
      <c r="F22" s="1">
        <f>+(data!F32+data!F33)/data!F28</f>
        <v>3.1990825688073397</v>
      </c>
      <c r="G22" s="1">
        <f>+(data!G32+data!G33)/data!G28</f>
        <v>1.3118686163978344</v>
      </c>
    </row>
    <row r="23" spans="1:7" s="54" customFormat="1" ht="15" thickBot="1" x14ac:dyDescent="0.35"/>
    <row r="24" spans="1:7" s="3" customFormat="1" ht="15" thickBot="1" x14ac:dyDescent="0.35">
      <c r="A24" s="56" t="s">
        <v>127</v>
      </c>
    </row>
    <row r="25" spans="1:7" x14ac:dyDescent="0.3">
      <c r="A25" s="2" t="s">
        <v>96</v>
      </c>
      <c r="C25" s="9">
        <f>data!C68/data!C25</f>
        <v>0</v>
      </c>
      <c r="D25" s="9">
        <f>data!D68/data!D25</f>
        <v>0</v>
      </c>
      <c r="E25" s="9">
        <f>data!E68/data!E25</f>
        <v>0</v>
      </c>
      <c r="F25" s="9">
        <f>data!F68/data!F25</f>
        <v>0</v>
      </c>
      <c r="G25" s="9">
        <f>data!G68/data!G25</f>
        <v>0</v>
      </c>
    </row>
    <row r="26" spans="1:7" x14ac:dyDescent="0.3">
      <c r="A26" s="2" t="s">
        <v>97</v>
      </c>
      <c r="C26" s="9">
        <f>data!C27/data!C25</f>
        <v>-3.6121226359685189E-3</v>
      </c>
      <c r="D26" s="9">
        <f>data!D27/data!D25</f>
        <v>8.6761743380144429E-3</v>
      </c>
      <c r="E26" s="9">
        <f>data!E27/data!E25</f>
        <v>2.9529594078113709E-2</v>
      </c>
      <c r="F26" s="9">
        <f>data!F27/data!F25</f>
        <v>1.2211641452224005E-2</v>
      </c>
      <c r="G26" s="9">
        <f>data!G27/data!G25</f>
        <v>0.24976440492520879</v>
      </c>
    </row>
    <row r="27" spans="1:7" x14ac:dyDescent="0.3">
      <c r="A27" s="2" t="s">
        <v>98</v>
      </c>
      <c r="C27" s="9">
        <f>data!C45/data!C25</f>
        <v>-3.2368142840361797E-2</v>
      </c>
      <c r="D27" s="9">
        <f>data!D45/data!D25</f>
        <v>-5.0531018717167385E-2</v>
      </c>
      <c r="E27" s="9">
        <f>data!E45/data!E25</f>
        <v>-2.0788424808543828E-3</v>
      </c>
      <c r="F27" s="9">
        <f>data!F45/data!F25</f>
        <v>-6.7132054759481391E-2</v>
      </c>
      <c r="G27" s="9">
        <f>data!G45/data!G25</f>
        <v>7.108978996041658E-2</v>
      </c>
    </row>
    <row r="28" spans="1:7" x14ac:dyDescent="0.3">
      <c r="A28" s="2" t="s">
        <v>99</v>
      </c>
      <c r="C28" s="74">
        <f>+(data!C28/data!C81)/(data!C32+data!C33)</f>
        <v>1.5341233121835446E-9</v>
      </c>
      <c r="D28" s="74">
        <f>+(data!D28/data!D81)/(data!D32+data!D33)</f>
        <v>1.7062551993344782E-9</v>
      </c>
      <c r="E28" s="74">
        <f>+(data!E28/data!E81)/(data!E32+data!E33)</f>
        <v>1.5432986496305446E-9</v>
      </c>
      <c r="F28" s="74">
        <f>+(data!F28/data!F81)/(data!F32+data!F33)</f>
        <v>1.4745349757694132E-9</v>
      </c>
      <c r="G28" s="74">
        <f>+(data!G28/data!G81)/(data!G32+data!G33)</f>
        <v>3.5957557632815319E-9</v>
      </c>
    </row>
    <row r="29" spans="1:7" ht="15" thickBot="1" x14ac:dyDescent="0.35">
      <c r="A29" s="2" t="s">
        <v>100</v>
      </c>
      <c r="C29" s="9">
        <f>data!C37/data!C25</f>
        <v>0.12175966169387994</v>
      </c>
      <c r="D29" s="9">
        <f>data!D37/data!D25</f>
        <v>0.30882235296684435</v>
      </c>
      <c r="E29" s="9">
        <f>data!E37/data!E25</f>
        <v>0.32726159842618013</v>
      </c>
      <c r="F29" s="9">
        <f>data!F37/data!F25</f>
        <v>0.48333608658350075</v>
      </c>
      <c r="G29" s="9">
        <f>data!G37/data!G25</f>
        <v>0.61400171921895386</v>
      </c>
    </row>
    <row r="30" spans="1:7" ht="15" thickBot="1" x14ac:dyDescent="0.35">
      <c r="A30" s="3"/>
      <c r="C30" s="104">
        <f>(C25*0.717)+(C26*3.107)+(C27*0.847)+(C28*0.42)+(C29*0.998)</f>
        <v>8.2877460999083344E-2</v>
      </c>
      <c r="D30" s="105">
        <f>SUM(D25:D29)</f>
        <v>0.26696751029394661</v>
      </c>
      <c r="E30" s="105">
        <f>SUM(E25:E29)</f>
        <v>0.35471235156673808</v>
      </c>
      <c r="F30" s="105">
        <f>SUM(F25:F29)</f>
        <v>0.42841567475077835</v>
      </c>
      <c r="G30" s="105">
        <f>SUM(G25:G29)</f>
        <v>0.93485591770033505</v>
      </c>
    </row>
    <row r="31" spans="1:7" ht="15" thickBot="1" x14ac:dyDescent="0.35">
      <c r="A31" s="56" t="s">
        <v>101</v>
      </c>
    </row>
    <row r="32" spans="1:7" s="3" customFormat="1" x14ac:dyDescent="0.3">
      <c r="A32" s="53" t="s">
        <v>101</v>
      </c>
      <c r="C32" s="8">
        <f>((data!C37-data!E37)/data!E37)/(data!$N$37-1)</f>
        <v>-0.16895192818940982</v>
      </c>
      <c r="D32" s="8">
        <f>((data!D37-data!E37)/data!E37)/(data!$N$37-1)</f>
        <v>-5.0781909736340038E-2</v>
      </c>
      <c r="E32" s="8">
        <f>((data!E37-data!E37)/data!E37)/(data!$N$37-1)</f>
        <v>0</v>
      </c>
      <c r="F32" s="8" t="e">
        <f>((data!F37-data!H37)/data!H37)/(data!$N$37-1)</f>
        <v>#DIV/0!</v>
      </c>
      <c r="G32" s="8">
        <f>((data!G37-data!I37)/data!I37)/(data!$N$37-1)</f>
        <v>178034249.75</v>
      </c>
    </row>
    <row r="33" spans="1:9" ht="15" thickBot="1" x14ac:dyDescent="0.35">
      <c r="A33" s="55" t="s">
        <v>102</v>
      </c>
      <c r="C33" s="92">
        <f>((data!C45-data!G45)/data!G45)/(data!N37-1)</f>
        <v>-0.33354861010042208</v>
      </c>
    </row>
    <row r="34" spans="1:9" s="54" customFormat="1" ht="15" thickBot="1" x14ac:dyDescent="0.35">
      <c r="A34" s="20"/>
    </row>
    <row r="35" spans="1:9" ht="15" thickBot="1" x14ac:dyDescent="0.35">
      <c r="A35" s="56" t="s">
        <v>103</v>
      </c>
    </row>
    <row r="36" spans="1:9" x14ac:dyDescent="0.3">
      <c r="A36" s="53" t="s">
        <v>101</v>
      </c>
      <c r="C36" s="7" t="str">
        <f>IF(C32&gt;0,"POSITIVE","NEGATIVE")</f>
        <v>NEGATIVE</v>
      </c>
    </row>
    <row r="37" spans="1:9" x14ac:dyDescent="0.3">
      <c r="A37" s="2" t="s">
        <v>102</v>
      </c>
      <c r="C37" s="7" t="str">
        <f>IF(C33&gt;0,"POSITIVE","NEGATIVE")</f>
        <v>NEGATIVE</v>
      </c>
    </row>
    <row r="39" spans="1:9" ht="15" thickBot="1" x14ac:dyDescent="0.35">
      <c r="D39" s="3"/>
      <c r="E39" s="3"/>
    </row>
    <row r="40" spans="1:9" ht="15" thickBot="1" x14ac:dyDescent="0.35">
      <c r="A40" s="56" t="s">
        <v>104</v>
      </c>
    </row>
    <row r="41" spans="1:9" x14ac:dyDescent="0.3">
      <c r="A41" s="53" t="s">
        <v>105</v>
      </c>
      <c r="C41" s="9">
        <f>(+(data!C20-data!C19))/data!C32</f>
        <v>0.79384567658183292</v>
      </c>
      <c r="D41" s="9">
        <f>(+(data!D20-data!D19))/data!D32</f>
        <v>0.74543902523730232</v>
      </c>
      <c r="E41" s="9">
        <f>+(data!E20-data!E19)/data!E32</f>
        <v>0.70938534447136958</v>
      </c>
      <c r="F41" s="13">
        <f>+(data!F20-data!F19)/data!F32</f>
        <v>0.57308392376310602</v>
      </c>
      <c r="G41" s="13">
        <f>+(data!G20-data!G19)/data!G32</f>
        <v>0.7520713039039163</v>
      </c>
      <c r="H41" s="9"/>
      <c r="I41" s="9"/>
    </row>
    <row r="42" spans="1:9" x14ac:dyDescent="0.3">
      <c r="A42" s="53" t="s">
        <v>106</v>
      </c>
      <c r="C42" s="59">
        <f>+data!C20/+data!C32</f>
        <v>1.1259551678351121</v>
      </c>
      <c r="D42" s="59">
        <f>+data!D20/+data!D32</f>
        <v>1.1415167971456093</v>
      </c>
      <c r="E42" s="60">
        <f>+data!E20/+data!E32</f>
        <v>1.1096099618725583</v>
      </c>
      <c r="F42" s="59">
        <f>+data!F20/+data!F32</f>
        <v>1.0499270424357297</v>
      </c>
      <c r="G42" s="59">
        <f>+data!G20/+data!G32</f>
        <v>1.4592379119325041</v>
      </c>
    </row>
    <row r="43" spans="1:9" x14ac:dyDescent="0.3">
      <c r="A43" s="53" t="s">
        <v>107</v>
      </c>
      <c r="C43" s="10">
        <f>(data!C37-data!D37)/data!D37</f>
        <v>-0.59316911580005027</v>
      </c>
      <c r="D43" s="10">
        <f>(data!D37-data!E37)/data!E37</f>
        <v>-0.20312763894536015</v>
      </c>
      <c r="E43" s="10">
        <f>(data!E37-data!F37)/data!F37</f>
        <v>-0.29498331889033685</v>
      </c>
    </row>
    <row r="44" spans="1:9" x14ac:dyDescent="0.3">
      <c r="A44" s="53" t="s">
        <v>108</v>
      </c>
      <c r="C44" s="10">
        <f>C33</f>
        <v>-0.33354861010042208</v>
      </c>
    </row>
    <row r="45" spans="1:9" x14ac:dyDescent="0.3">
      <c r="A45" s="53" t="s">
        <v>109</v>
      </c>
      <c r="C45" s="63">
        <f>C21</f>
        <v>0.85366850698931052</v>
      </c>
    </row>
    <row r="46" spans="1:9" x14ac:dyDescent="0.3">
      <c r="A46" s="53" t="s">
        <v>110</v>
      </c>
      <c r="C46" s="64" t="str">
        <f ca="1">IF(((TODAY()-data!B13)/30)&lt;12,"Y","N")</f>
        <v>N</v>
      </c>
    </row>
    <row r="47" spans="1:9" s="3" customFormat="1" ht="15" thickBot="1" x14ac:dyDescent="0.35">
      <c r="A47" s="19"/>
    </row>
    <row r="48" spans="1:9" ht="15" thickBot="1" x14ac:dyDescent="0.35">
      <c r="A48" s="56" t="s">
        <v>111</v>
      </c>
    </row>
    <row r="49" spans="1:3" x14ac:dyDescent="0.3">
      <c r="A49" s="53" t="s">
        <v>112</v>
      </c>
    </row>
    <row r="50" spans="1:3" x14ac:dyDescent="0.3">
      <c r="A50" s="53" t="s">
        <v>113</v>
      </c>
      <c r="C50" s="7" t="str">
        <f>IF(data!B6="Complaint Recorded","Y","N")</f>
        <v>N</v>
      </c>
    </row>
    <row r="51" spans="1:3" ht="15" thickBot="1" x14ac:dyDescent="0.35"/>
    <row r="52" spans="1:3" ht="15" thickBot="1" x14ac:dyDescent="0.35">
      <c r="A52" s="56" t="s">
        <v>114</v>
      </c>
    </row>
    <row r="53" spans="1:3" x14ac:dyDescent="0.3">
      <c r="A53" s="53" t="s">
        <v>115</v>
      </c>
      <c r="C53" s="65">
        <f ca="1">(TODAY()-data!B9)/365</f>
        <v>26.701369863013699</v>
      </c>
    </row>
    <row r="54" spans="1:3" s="3" customFormat="1" ht="15" thickBot="1" x14ac:dyDescent="0.35"/>
    <row r="55" spans="1:3" ht="15" thickBot="1" x14ac:dyDescent="0.35">
      <c r="A55" s="56" t="s">
        <v>116</v>
      </c>
    </row>
    <row r="56" spans="1:3" x14ac:dyDescent="0.3">
      <c r="A56" s="53" t="s">
        <v>117</v>
      </c>
      <c r="C56" s="65">
        <f ca="1">(TODAY()-data!B13)/365</f>
        <v>7.3835616438356162</v>
      </c>
    </row>
    <row r="57" spans="1:3" x14ac:dyDescent="0.3">
      <c r="A57" s="53" t="s">
        <v>118</v>
      </c>
    </row>
    <row r="58" spans="1:3" x14ac:dyDescent="0.3">
      <c r="A58" s="53" t="s">
        <v>119</v>
      </c>
      <c r="C58" s="7" t="str">
        <f>data!B12</f>
        <v>Ship Building</v>
      </c>
    </row>
    <row r="59" spans="1:3" x14ac:dyDescent="0.3">
      <c r="A59" s="53" t="s">
        <v>120</v>
      </c>
      <c r="C59" s="14"/>
    </row>
    <row r="60" spans="1:3" x14ac:dyDescent="0.3">
      <c r="A60" s="53" t="s">
        <v>121</v>
      </c>
    </row>
    <row r="61" spans="1:3" x14ac:dyDescent="0.3">
      <c r="A61" s="53" t="s">
        <v>122</v>
      </c>
      <c r="C61">
        <f>master!G116</f>
        <v>6</v>
      </c>
    </row>
    <row r="62" spans="1:3" ht="15" thickBot="1" x14ac:dyDescent="0.35">
      <c r="A62" s="3"/>
    </row>
    <row r="63" spans="1:3" ht="15" thickBot="1" x14ac:dyDescent="0.35">
      <c r="A63" s="56" t="s">
        <v>123</v>
      </c>
      <c r="C63" s="1"/>
    </row>
    <row r="64" spans="1:3" x14ac:dyDescent="0.3">
      <c r="A64" s="53" t="s">
        <v>124</v>
      </c>
      <c r="C64">
        <f>IF(C36="NEGATIVE",0.5,1)</f>
        <v>0.5</v>
      </c>
    </row>
    <row r="65" spans="1:3" x14ac:dyDescent="0.3">
      <c r="A65" s="53" t="s">
        <v>125</v>
      </c>
      <c r="C65">
        <f ca="1">IF(C46="Y",0.75,1)</f>
        <v>1</v>
      </c>
    </row>
    <row r="66" spans="1:3" x14ac:dyDescent="0.3">
      <c r="A66" s="53" t="s">
        <v>126</v>
      </c>
      <c r="C66" s="10">
        <f ca="1">+(((C3*C64)*C65)/data!C37)</f>
        <v>3.5645030582514906E-2</v>
      </c>
    </row>
    <row r="67" spans="1:3" x14ac:dyDescent="0.3">
      <c r="A67" s="5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B52AE-2D52-47B5-AF6F-EEDBE767B86A}">
  <sheetPr codeName="Sheet5"/>
  <dimension ref="A1:J122"/>
  <sheetViews>
    <sheetView topLeftCell="A25" workbookViewId="0">
      <selection activeCell="B72" sqref="B72"/>
    </sheetView>
  </sheetViews>
  <sheetFormatPr defaultRowHeight="14.4" x14ac:dyDescent="0.3"/>
  <cols>
    <col min="1" max="1" width="13.88671875" style="3" customWidth="1"/>
    <col min="2" max="2" width="31.77734375" style="3" bestFit="1" customWidth="1"/>
    <col min="3" max="3" width="8.21875" style="3" customWidth="1"/>
    <col min="4" max="4" width="29.77734375" style="3" bestFit="1" customWidth="1"/>
    <col min="5" max="5" width="8.21875" style="3" customWidth="1"/>
    <col min="6" max="6" width="30.6640625" style="3" bestFit="1" customWidth="1"/>
    <col min="7" max="7" width="24.21875" style="3" customWidth="1"/>
    <col min="8" max="8" width="18.77734375" style="3" customWidth="1"/>
    <col min="9" max="9" width="28.88671875" style="3" bestFit="1" customWidth="1"/>
    <col min="10" max="10" width="18.88671875" style="3" customWidth="1"/>
    <col min="11" max="11" width="12" style="3" bestFit="1" customWidth="1"/>
    <col min="12" max="12" width="31.77734375" style="3" bestFit="1" customWidth="1"/>
    <col min="13" max="13" width="29.77734375" style="3" bestFit="1" customWidth="1"/>
    <col min="14" max="14" width="33.21875" style="3" bestFit="1" customWidth="1"/>
    <col min="15" max="15" width="30.6640625" style="3" bestFit="1" customWidth="1"/>
    <col min="16" max="16" width="13.109375" style="3" bestFit="1" customWidth="1"/>
    <col min="17" max="17" width="28.88671875" style="3" bestFit="1" customWidth="1"/>
    <col min="18" max="16384" width="8.88671875" style="3"/>
  </cols>
  <sheetData>
    <row r="1" spans="1:10" ht="18" x14ac:dyDescent="0.35">
      <c r="A1" s="46" t="s">
        <v>130</v>
      </c>
    </row>
    <row r="3" spans="1:10" ht="23.4" x14ac:dyDescent="0.45">
      <c r="A3" s="47" t="s">
        <v>131</v>
      </c>
    </row>
    <row r="4" spans="1:10" s="46" customFormat="1" ht="18" x14ac:dyDescent="0.35">
      <c r="A4" s="40" t="s">
        <v>132</v>
      </c>
      <c r="B4" s="40" t="s">
        <v>105</v>
      </c>
      <c r="C4" s="41" t="s">
        <v>132</v>
      </c>
      <c r="D4" s="41" t="s">
        <v>106</v>
      </c>
      <c r="E4" s="42" t="s">
        <v>132</v>
      </c>
      <c r="F4" s="42" t="s">
        <v>133</v>
      </c>
      <c r="G4" s="43" t="s">
        <v>110</v>
      </c>
      <c r="H4" s="44" t="s">
        <v>132</v>
      </c>
      <c r="I4" s="44" t="s">
        <v>134</v>
      </c>
      <c r="J4" s="45" t="s">
        <v>135</v>
      </c>
    </row>
    <row r="5" spans="1:10" x14ac:dyDescent="0.3">
      <c r="A5" s="22">
        <v>1</v>
      </c>
      <c r="B5" s="21" t="s">
        <v>136</v>
      </c>
      <c r="C5" s="26">
        <v>1</v>
      </c>
      <c r="D5" s="27" t="s">
        <v>137</v>
      </c>
      <c r="E5" s="31">
        <v>1</v>
      </c>
      <c r="F5" s="30">
        <v>30</v>
      </c>
      <c r="G5" s="33" t="s">
        <v>138</v>
      </c>
      <c r="H5" s="34">
        <v>1</v>
      </c>
      <c r="I5" s="35" t="s">
        <v>139</v>
      </c>
      <c r="J5" s="39">
        <v>1</v>
      </c>
    </row>
    <row r="6" spans="1:10" x14ac:dyDescent="0.3">
      <c r="A6" s="22">
        <v>2</v>
      </c>
      <c r="B6" s="21" t="s">
        <v>140</v>
      </c>
      <c r="C6" s="26">
        <v>2</v>
      </c>
      <c r="D6" s="28" t="s">
        <v>141</v>
      </c>
      <c r="E6" s="31">
        <v>2</v>
      </c>
      <c r="F6" s="30">
        <v>25</v>
      </c>
      <c r="G6" s="33"/>
      <c r="H6" s="34">
        <v>2</v>
      </c>
      <c r="I6" s="35" t="s">
        <v>142</v>
      </c>
      <c r="J6" s="39">
        <v>2</v>
      </c>
    </row>
    <row r="7" spans="1:10" x14ac:dyDescent="0.3">
      <c r="A7" s="22">
        <v>3</v>
      </c>
      <c r="B7" s="21" t="s">
        <v>143</v>
      </c>
      <c r="C7" s="26">
        <v>3</v>
      </c>
      <c r="D7" s="28" t="s">
        <v>144</v>
      </c>
      <c r="E7" s="31">
        <v>3</v>
      </c>
      <c r="F7" s="30">
        <v>20</v>
      </c>
      <c r="G7" s="33"/>
      <c r="H7" s="34">
        <v>3</v>
      </c>
      <c r="I7" s="35" t="s">
        <v>145</v>
      </c>
      <c r="J7" s="39">
        <v>3</v>
      </c>
    </row>
    <row r="8" spans="1:10" x14ac:dyDescent="0.3">
      <c r="A8" s="22">
        <v>4</v>
      </c>
      <c r="B8" s="21" t="s">
        <v>146</v>
      </c>
      <c r="C8" s="26">
        <v>4</v>
      </c>
      <c r="D8" s="28" t="s">
        <v>147</v>
      </c>
      <c r="E8" s="31">
        <v>4</v>
      </c>
      <c r="F8" s="30">
        <v>15</v>
      </c>
      <c r="G8" s="33"/>
      <c r="H8" s="34">
        <v>4</v>
      </c>
      <c r="I8" s="35" t="s">
        <v>148</v>
      </c>
      <c r="J8" s="39">
        <v>4</v>
      </c>
    </row>
    <row r="9" spans="1:10" x14ac:dyDescent="0.3">
      <c r="A9" s="22">
        <v>5</v>
      </c>
      <c r="B9" s="23" t="s">
        <v>149</v>
      </c>
      <c r="C9" s="26">
        <v>5</v>
      </c>
      <c r="D9" s="28" t="s">
        <v>150</v>
      </c>
      <c r="E9" s="31">
        <v>5</v>
      </c>
      <c r="F9" s="30">
        <v>10</v>
      </c>
      <c r="G9" s="33"/>
      <c r="H9" s="34">
        <v>5</v>
      </c>
      <c r="I9" s="35" t="s">
        <v>149</v>
      </c>
      <c r="J9" s="39">
        <v>5</v>
      </c>
    </row>
    <row r="10" spans="1:10" x14ac:dyDescent="0.3">
      <c r="A10" s="22">
        <v>6</v>
      </c>
      <c r="B10" s="21" t="s">
        <v>148</v>
      </c>
      <c r="C10" s="26">
        <v>6</v>
      </c>
      <c r="D10" s="28" t="s">
        <v>136</v>
      </c>
      <c r="E10" s="31">
        <v>6</v>
      </c>
      <c r="F10" s="30">
        <v>6</v>
      </c>
      <c r="G10" s="33"/>
      <c r="H10" s="34">
        <v>6</v>
      </c>
      <c r="I10" s="35" t="s">
        <v>150</v>
      </c>
      <c r="J10" s="39">
        <v>6</v>
      </c>
    </row>
    <row r="11" spans="1:10" x14ac:dyDescent="0.3">
      <c r="A11" s="22">
        <v>7</v>
      </c>
      <c r="B11" s="21" t="s">
        <v>145</v>
      </c>
      <c r="C11" s="26">
        <v>7</v>
      </c>
      <c r="D11" s="28" t="s">
        <v>143</v>
      </c>
      <c r="E11" s="31">
        <v>7</v>
      </c>
      <c r="F11" s="30">
        <v>4</v>
      </c>
      <c r="G11" s="33"/>
      <c r="H11" s="34">
        <v>7</v>
      </c>
      <c r="I11" s="35" t="s">
        <v>151</v>
      </c>
      <c r="J11" s="39">
        <v>7</v>
      </c>
    </row>
    <row r="12" spans="1:10" x14ac:dyDescent="0.3">
      <c r="A12" s="22">
        <v>8</v>
      </c>
      <c r="B12" s="21" t="s">
        <v>152</v>
      </c>
      <c r="C12" s="26">
        <v>8</v>
      </c>
      <c r="D12" s="28" t="s">
        <v>146</v>
      </c>
      <c r="E12" s="31">
        <v>8</v>
      </c>
      <c r="F12" s="30">
        <v>0</v>
      </c>
      <c r="G12" s="33" t="s">
        <v>153</v>
      </c>
      <c r="H12" s="34">
        <v>8</v>
      </c>
      <c r="I12" s="35" t="s">
        <v>144</v>
      </c>
      <c r="J12" s="39">
        <v>8</v>
      </c>
    </row>
    <row r="13" spans="1:10" x14ac:dyDescent="0.3">
      <c r="A13" s="22">
        <v>9</v>
      </c>
      <c r="B13" s="21" t="s">
        <v>154</v>
      </c>
      <c r="C13" s="26">
        <v>9</v>
      </c>
      <c r="D13" s="28" t="s">
        <v>149</v>
      </c>
      <c r="E13" s="31">
        <v>9</v>
      </c>
      <c r="F13" s="30">
        <v>-1</v>
      </c>
      <c r="G13" s="33"/>
      <c r="H13" s="34">
        <v>9</v>
      </c>
      <c r="I13" s="36" t="s">
        <v>141</v>
      </c>
      <c r="J13" s="39">
        <v>9</v>
      </c>
    </row>
    <row r="14" spans="1:10" x14ac:dyDescent="0.3">
      <c r="A14" s="24">
        <v>10</v>
      </c>
      <c r="B14" s="21" t="s">
        <v>155</v>
      </c>
      <c r="C14" s="29">
        <v>10</v>
      </c>
      <c r="D14" s="25" t="s">
        <v>145</v>
      </c>
      <c r="E14" s="32">
        <v>10</v>
      </c>
      <c r="F14" s="30">
        <v>-10</v>
      </c>
      <c r="G14" s="33"/>
      <c r="H14" s="37">
        <v>10</v>
      </c>
      <c r="I14" s="35" t="s">
        <v>137</v>
      </c>
      <c r="J14" s="39">
        <v>10</v>
      </c>
    </row>
    <row r="16" spans="1:10" x14ac:dyDescent="0.3">
      <c r="E16" s="78" t="s">
        <v>245</v>
      </c>
      <c r="F16" s="78" t="s">
        <v>243</v>
      </c>
      <c r="G16" s="78" t="s">
        <v>244</v>
      </c>
      <c r="H16" s="78" t="s">
        <v>248</v>
      </c>
    </row>
    <row r="17" spans="1:8" x14ac:dyDescent="0.3">
      <c r="A17" s="5" t="s">
        <v>132</v>
      </c>
      <c r="B17" s="5" t="s">
        <v>156</v>
      </c>
      <c r="E17" s="83">
        <v>1</v>
      </c>
      <c r="F17" s="83">
        <v>1.4</v>
      </c>
      <c r="G17" s="83">
        <v>3</v>
      </c>
      <c r="H17" s="83">
        <v>0.5</v>
      </c>
    </row>
    <row r="18" spans="1:8" x14ac:dyDescent="0.3">
      <c r="A18" s="16">
        <v>1</v>
      </c>
      <c r="B18" s="5" t="s">
        <v>157</v>
      </c>
      <c r="E18" s="83">
        <v>2</v>
      </c>
      <c r="F18" s="83">
        <v>1.3</v>
      </c>
      <c r="G18" s="83">
        <v>2.5</v>
      </c>
      <c r="H18" s="83">
        <v>0.7</v>
      </c>
    </row>
    <row r="19" spans="1:8" x14ac:dyDescent="0.3">
      <c r="A19" s="16">
        <v>2</v>
      </c>
      <c r="B19" s="5"/>
      <c r="E19" s="83">
        <v>3</v>
      </c>
      <c r="F19" s="83">
        <v>1.2</v>
      </c>
      <c r="G19" s="83">
        <v>2</v>
      </c>
      <c r="H19" s="83">
        <v>0.8</v>
      </c>
    </row>
    <row r="20" spans="1:8" x14ac:dyDescent="0.3">
      <c r="A20" s="16">
        <v>3</v>
      </c>
      <c r="B20" s="5"/>
      <c r="E20" s="83">
        <v>4</v>
      </c>
      <c r="F20" s="83">
        <v>1.1000000000000001</v>
      </c>
      <c r="G20" s="83">
        <v>1.8</v>
      </c>
      <c r="H20" s="83">
        <v>0.9</v>
      </c>
    </row>
    <row r="21" spans="1:8" x14ac:dyDescent="0.3">
      <c r="A21" s="16">
        <v>4</v>
      </c>
      <c r="B21" s="5"/>
      <c r="E21" s="83">
        <v>5</v>
      </c>
      <c r="F21" s="83">
        <v>1</v>
      </c>
      <c r="G21" s="83">
        <v>1.5</v>
      </c>
      <c r="H21" s="83">
        <v>1</v>
      </c>
    </row>
    <row r="22" spans="1:8" x14ac:dyDescent="0.3">
      <c r="A22" s="16">
        <v>5</v>
      </c>
      <c r="B22" s="5"/>
      <c r="E22" s="83">
        <v>6</v>
      </c>
      <c r="F22" s="83">
        <v>0.9</v>
      </c>
      <c r="G22" s="83">
        <v>1.4</v>
      </c>
      <c r="H22" s="83">
        <v>1.5</v>
      </c>
    </row>
    <row r="23" spans="1:8" x14ac:dyDescent="0.3">
      <c r="A23" s="16">
        <v>6</v>
      </c>
      <c r="B23" s="5"/>
      <c r="E23" s="83">
        <v>7</v>
      </c>
      <c r="F23" s="83">
        <v>0.8</v>
      </c>
      <c r="G23" s="83">
        <v>1.2</v>
      </c>
      <c r="H23" s="83">
        <v>1.75</v>
      </c>
    </row>
    <row r="24" spans="1:8" x14ac:dyDescent="0.3">
      <c r="A24" s="16">
        <v>7</v>
      </c>
      <c r="B24" s="5" t="s">
        <v>158</v>
      </c>
      <c r="E24" s="83">
        <v>8</v>
      </c>
      <c r="F24" s="83">
        <v>0.7</v>
      </c>
      <c r="G24" s="83">
        <v>1.1000000000000001</v>
      </c>
      <c r="H24" s="83">
        <v>2</v>
      </c>
    </row>
    <row r="25" spans="1:8" x14ac:dyDescent="0.3">
      <c r="A25" s="16">
        <v>8</v>
      </c>
      <c r="B25" s="5" t="s">
        <v>159</v>
      </c>
      <c r="E25" s="83">
        <v>9</v>
      </c>
      <c r="F25" s="83">
        <v>0.6</v>
      </c>
      <c r="G25" s="83">
        <v>1</v>
      </c>
      <c r="H25" s="83">
        <v>2.5</v>
      </c>
    </row>
    <row r="26" spans="1:8" x14ac:dyDescent="0.3">
      <c r="A26" s="16">
        <v>9</v>
      </c>
      <c r="B26" s="5" t="s">
        <v>160</v>
      </c>
      <c r="E26" s="83">
        <v>10</v>
      </c>
      <c r="F26" s="83">
        <v>0.5</v>
      </c>
      <c r="G26" s="83">
        <v>0.8</v>
      </c>
      <c r="H26" s="83">
        <v>3</v>
      </c>
    </row>
    <row r="27" spans="1:8" x14ac:dyDescent="0.3">
      <c r="A27" s="17">
        <v>10</v>
      </c>
      <c r="B27" s="5" t="s">
        <v>161</v>
      </c>
    </row>
    <row r="30" spans="1:8" x14ac:dyDescent="0.3">
      <c r="A30" s="38" t="s">
        <v>132</v>
      </c>
      <c r="B30" s="38" t="s">
        <v>162</v>
      </c>
      <c r="C30" s="5"/>
      <c r="D30" s="50" t="s">
        <v>163</v>
      </c>
      <c r="E30" s="5"/>
      <c r="F30" s="51" t="s">
        <v>164</v>
      </c>
      <c r="H30" s="51" t="s">
        <v>164</v>
      </c>
    </row>
    <row r="31" spans="1:8" x14ac:dyDescent="0.3">
      <c r="A31" s="48">
        <v>1</v>
      </c>
      <c r="B31" s="38" t="s">
        <v>165</v>
      </c>
      <c r="C31" s="5"/>
      <c r="D31" s="50" t="s">
        <v>166</v>
      </c>
      <c r="E31" s="5"/>
      <c r="F31" s="51" t="s">
        <v>167</v>
      </c>
      <c r="G31" s="3">
        <v>100</v>
      </c>
      <c r="H31" s="107">
        <v>1000000000</v>
      </c>
    </row>
    <row r="32" spans="1:8" x14ac:dyDescent="0.3">
      <c r="A32" s="48">
        <v>2</v>
      </c>
      <c r="B32" s="38" t="s">
        <v>168</v>
      </c>
      <c r="C32" s="5"/>
      <c r="D32" s="50" t="s">
        <v>169</v>
      </c>
      <c r="E32" s="5"/>
      <c r="F32" s="51" t="s">
        <v>170</v>
      </c>
      <c r="G32" s="3">
        <v>75</v>
      </c>
      <c r="H32" s="107">
        <v>750000000</v>
      </c>
    </row>
    <row r="33" spans="1:8" x14ac:dyDescent="0.3">
      <c r="A33" s="48">
        <v>3</v>
      </c>
      <c r="B33" s="38" t="s">
        <v>171</v>
      </c>
      <c r="C33" s="5"/>
      <c r="D33" s="50" t="s">
        <v>172</v>
      </c>
      <c r="E33" s="5"/>
      <c r="F33" s="51" t="s">
        <v>173</v>
      </c>
      <c r="G33" s="3">
        <v>50</v>
      </c>
      <c r="H33" s="107">
        <v>500000000</v>
      </c>
    </row>
    <row r="34" spans="1:8" x14ac:dyDescent="0.3">
      <c r="A34" s="48">
        <v>4</v>
      </c>
      <c r="B34" s="38" t="s">
        <v>174</v>
      </c>
      <c r="C34" s="5"/>
      <c r="D34" s="50" t="s">
        <v>175</v>
      </c>
      <c r="E34" s="5"/>
      <c r="F34" s="51" t="s">
        <v>176</v>
      </c>
      <c r="G34" s="20">
        <v>10</v>
      </c>
      <c r="H34" s="107">
        <v>100000000</v>
      </c>
    </row>
    <row r="35" spans="1:8" x14ac:dyDescent="0.3">
      <c r="A35" s="48">
        <v>5</v>
      </c>
      <c r="B35" s="38" t="s">
        <v>177</v>
      </c>
      <c r="C35" s="5"/>
      <c r="D35" s="50" t="s">
        <v>178</v>
      </c>
      <c r="E35" s="5"/>
      <c r="F35" s="51" t="s">
        <v>179</v>
      </c>
      <c r="G35" s="20">
        <v>5</v>
      </c>
      <c r="H35" s="107">
        <v>50000000</v>
      </c>
    </row>
    <row r="36" spans="1:8" x14ac:dyDescent="0.3">
      <c r="A36" s="48">
        <v>6</v>
      </c>
      <c r="B36" s="38" t="s">
        <v>180</v>
      </c>
      <c r="C36" s="5"/>
      <c r="D36" s="50" t="s">
        <v>181</v>
      </c>
      <c r="E36" s="5"/>
      <c r="F36" s="51" t="s">
        <v>182</v>
      </c>
      <c r="G36" s="20">
        <v>3</v>
      </c>
      <c r="H36" s="107">
        <v>30000000</v>
      </c>
    </row>
    <row r="37" spans="1:8" x14ac:dyDescent="0.3">
      <c r="A37" s="48">
        <v>7</v>
      </c>
      <c r="B37" s="38" t="s">
        <v>183</v>
      </c>
      <c r="C37" s="5"/>
      <c r="D37" s="50"/>
      <c r="E37" s="5"/>
      <c r="F37" s="51" t="s">
        <v>184</v>
      </c>
      <c r="G37" s="20">
        <v>1</v>
      </c>
      <c r="H37" s="107">
        <v>1000000</v>
      </c>
    </row>
    <row r="38" spans="1:8" x14ac:dyDescent="0.3">
      <c r="A38" s="48">
        <v>8</v>
      </c>
      <c r="B38" s="38"/>
      <c r="C38" s="5"/>
      <c r="D38" s="50"/>
      <c r="E38" s="5"/>
      <c r="F38" s="51" t="s">
        <v>185</v>
      </c>
      <c r="G38" s="20">
        <v>0.75</v>
      </c>
      <c r="H38" s="107">
        <v>750000</v>
      </c>
    </row>
    <row r="39" spans="1:8" x14ac:dyDescent="0.3">
      <c r="A39" s="48">
        <v>9</v>
      </c>
      <c r="B39" s="38"/>
      <c r="C39" s="5"/>
      <c r="D39" s="50"/>
      <c r="E39" s="5"/>
      <c r="F39" s="51" t="s">
        <v>186</v>
      </c>
      <c r="G39" s="20">
        <v>0.5</v>
      </c>
      <c r="H39" s="107">
        <v>500000</v>
      </c>
    </row>
    <row r="40" spans="1:8" x14ac:dyDescent="0.3">
      <c r="A40" s="49">
        <v>10</v>
      </c>
      <c r="B40" s="38"/>
      <c r="C40" s="5"/>
      <c r="D40" s="50"/>
      <c r="E40" s="5"/>
      <c r="F40" s="51" t="s">
        <v>187</v>
      </c>
      <c r="H40" s="107" t="s">
        <v>260</v>
      </c>
    </row>
    <row r="42" spans="1:8" ht="15" thickBot="1" x14ac:dyDescent="0.35">
      <c r="A42" s="5" t="s">
        <v>188</v>
      </c>
    </row>
    <row r="43" spans="1:8" x14ac:dyDescent="0.3">
      <c r="A43" s="3" t="s">
        <v>132</v>
      </c>
      <c r="B43" s="3" t="s">
        <v>189</v>
      </c>
      <c r="D43" s="85" t="s">
        <v>190</v>
      </c>
    </row>
    <row r="44" spans="1:8" x14ac:dyDescent="0.3">
      <c r="A44" s="5">
        <v>5</v>
      </c>
      <c r="B44" s="5" t="s">
        <v>191</v>
      </c>
      <c r="D44" s="86">
        <v>5</v>
      </c>
    </row>
    <row r="45" spans="1:8" x14ac:dyDescent="0.3">
      <c r="A45" s="5">
        <v>8</v>
      </c>
      <c r="B45" s="5" t="s">
        <v>192</v>
      </c>
      <c r="D45" s="86">
        <v>7</v>
      </c>
    </row>
    <row r="46" spans="1:8" x14ac:dyDescent="0.3">
      <c r="A46" s="5">
        <v>8</v>
      </c>
      <c r="B46" s="5" t="s">
        <v>193</v>
      </c>
      <c r="D46" s="86">
        <v>7</v>
      </c>
    </row>
    <row r="47" spans="1:8" x14ac:dyDescent="0.3">
      <c r="A47" s="5">
        <v>1</v>
      </c>
      <c r="B47" s="5" t="s">
        <v>194</v>
      </c>
      <c r="D47" s="86">
        <v>6</v>
      </c>
    </row>
    <row r="48" spans="1:8" x14ac:dyDescent="0.3">
      <c r="A48" s="5">
        <v>3</v>
      </c>
      <c r="B48" s="5" t="s">
        <v>195</v>
      </c>
      <c r="D48" s="86">
        <v>4</v>
      </c>
    </row>
    <row r="49" spans="1:5" x14ac:dyDescent="0.3">
      <c r="A49" s="5">
        <v>2</v>
      </c>
      <c r="B49" s="5" t="s">
        <v>196</v>
      </c>
      <c r="D49" s="86">
        <v>2</v>
      </c>
    </row>
    <row r="50" spans="1:5" x14ac:dyDescent="0.3">
      <c r="A50" s="5">
        <v>3</v>
      </c>
      <c r="B50" s="5" t="s">
        <v>197</v>
      </c>
      <c r="D50" s="86">
        <v>4</v>
      </c>
    </row>
    <row r="51" spans="1:5" x14ac:dyDescent="0.3">
      <c r="A51" s="5">
        <v>2</v>
      </c>
      <c r="B51" s="5" t="s">
        <v>198</v>
      </c>
      <c r="D51" s="86">
        <v>4</v>
      </c>
    </row>
    <row r="52" spans="1:5" x14ac:dyDescent="0.3">
      <c r="A52" s="5">
        <v>2</v>
      </c>
      <c r="B52" s="5" t="s">
        <v>199</v>
      </c>
      <c r="D52" s="86">
        <v>4</v>
      </c>
    </row>
    <row r="53" spans="1:5" x14ac:dyDescent="0.3">
      <c r="A53" s="5">
        <v>3</v>
      </c>
      <c r="B53" s="5" t="s">
        <v>200</v>
      </c>
      <c r="D53" s="86">
        <v>4</v>
      </c>
    </row>
    <row r="54" spans="1:5" x14ac:dyDescent="0.3">
      <c r="A54" s="5">
        <v>6</v>
      </c>
      <c r="B54" s="5" t="s">
        <v>201</v>
      </c>
      <c r="D54" s="86">
        <v>7</v>
      </c>
    </row>
    <row r="55" spans="1:5" ht="15" thickBot="1" x14ac:dyDescent="0.35">
      <c r="A55" s="66">
        <v>7</v>
      </c>
      <c r="B55" s="66" t="s">
        <v>257</v>
      </c>
      <c r="D55" s="87">
        <v>7</v>
      </c>
    </row>
    <row r="57" spans="1:5" x14ac:dyDescent="0.3">
      <c r="A57" s="3" t="s">
        <v>202</v>
      </c>
    </row>
    <row r="58" spans="1:5" x14ac:dyDescent="0.3">
      <c r="A58" s="3" t="s">
        <v>203</v>
      </c>
    </row>
    <row r="59" spans="1:5" x14ac:dyDescent="0.3">
      <c r="A59" s="5">
        <v>2</v>
      </c>
      <c r="B59" s="5" t="s">
        <v>204</v>
      </c>
      <c r="C59" s="5"/>
      <c r="D59" s="5"/>
      <c r="E59" s="5"/>
    </row>
    <row r="60" spans="1:5" x14ac:dyDescent="0.3">
      <c r="A60" s="5">
        <v>3</v>
      </c>
      <c r="B60" s="5" t="s">
        <v>205</v>
      </c>
      <c r="C60" s="5"/>
      <c r="D60" s="5"/>
      <c r="E60" s="5"/>
    </row>
    <row r="61" spans="1:5" x14ac:dyDescent="0.3">
      <c r="A61" s="5">
        <v>4</v>
      </c>
      <c r="B61" s="5" t="s">
        <v>206</v>
      </c>
      <c r="C61" s="5"/>
      <c r="D61" s="5"/>
      <c r="E61" s="5"/>
    </row>
    <row r="62" spans="1:5" x14ac:dyDescent="0.3">
      <c r="A62" s="5">
        <v>5</v>
      </c>
      <c r="B62" s="5" t="s">
        <v>207</v>
      </c>
      <c r="C62" s="5"/>
      <c r="D62" s="5"/>
      <c r="E62" s="5"/>
    </row>
    <row r="63" spans="1:5" x14ac:dyDescent="0.3">
      <c r="A63" s="5">
        <v>6</v>
      </c>
      <c r="B63" s="5" t="s">
        <v>208</v>
      </c>
      <c r="C63" s="5"/>
      <c r="D63" s="5"/>
      <c r="E63" s="5"/>
    </row>
    <row r="64" spans="1:5" x14ac:dyDescent="0.3">
      <c r="A64" s="5">
        <v>7</v>
      </c>
      <c r="B64" s="5" t="s">
        <v>209</v>
      </c>
      <c r="C64" s="5"/>
      <c r="D64" s="5"/>
      <c r="E64" s="5"/>
    </row>
    <row r="65" spans="1:9" x14ac:dyDescent="0.3">
      <c r="A65" s="5">
        <v>8</v>
      </c>
      <c r="B65" s="5" t="s">
        <v>210</v>
      </c>
      <c r="C65" s="5"/>
      <c r="D65" s="5"/>
      <c r="E65" s="5"/>
    </row>
    <row r="68" spans="1:9" x14ac:dyDescent="0.3">
      <c r="A68" s="6" t="s">
        <v>211</v>
      </c>
      <c r="F68" s="18"/>
    </row>
    <row r="69" spans="1:9" ht="22.05" customHeight="1" x14ac:dyDescent="0.3">
      <c r="A69" s="3" t="s">
        <v>212</v>
      </c>
      <c r="F69" s="18"/>
      <c r="G69" s="5" t="s">
        <v>254</v>
      </c>
      <c r="H69" s="5"/>
      <c r="I69" s="5"/>
    </row>
    <row r="70" spans="1:9" x14ac:dyDescent="0.3">
      <c r="A70" s="11"/>
      <c r="B70" s="11" t="s">
        <v>96</v>
      </c>
      <c r="C70" s="11"/>
      <c r="D70" s="3" t="s">
        <v>213</v>
      </c>
      <c r="E70" s="11"/>
      <c r="F70" s="18"/>
      <c r="G70" s="5">
        <v>1</v>
      </c>
      <c r="H70" s="5">
        <v>3</v>
      </c>
      <c r="I70" s="5" t="s">
        <v>249</v>
      </c>
    </row>
    <row r="71" spans="1:9" x14ac:dyDescent="0.3">
      <c r="A71" s="11"/>
      <c r="B71" s="11" t="s">
        <v>97</v>
      </c>
      <c r="C71" s="11"/>
      <c r="D71" s="3" t="s">
        <v>214</v>
      </c>
      <c r="E71" s="11"/>
      <c r="G71" s="5">
        <v>4</v>
      </c>
      <c r="H71" s="5">
        <v>5</v>
      </c>
      <c r="I71" s="5" t="s">
        <v>250</v>
      </c>
    </row>
    <row r="72" spans="1:9" x14ac:dyDescent="0.3">
      <c r="A72" s="11"/>
      <c r="B72" s="11" t="s">
        <v>98</v>
      </c>
      <c r="C72" s="11"/>
      <c r="D72" s="3" t="s">
        <v>215</v>
      </c>
      <c r="E72" s="11"/>
      <c r="G72" s="5"/>
      <c r="H72" s="5"/>
      <c r="I72" s="5"/>
    </row>
    <row r="73" spans="1:9" x14ac:dyDescent="0.3">
      <c r="A73" s="11"/>
      <c r="B73" s="11" t="s">
        <v>99</v>
      </c>
      <c r="C73" s="11"/>
      <c r="D73" s="3" t="s">
        <v>216</v>
      </c>
      <c r="E73" s="11"/>
      <c r="G73" s="5">
        <v>6</v>
      </c>
      <c r="H73" s="5">
        <v>7</v>
      </c>
      <c r="I73" s="5" t="s">
        <v>251</v>
      </c>
    </row>
    <row r="74" spans="1:9" x14ac:dyDescent="0.3">
      <c r="A74" s="11"/>
      <c r="B74" s="11" t="s">
        <v>100</v>
      </c>
      <c r="C74" s="11"/>
      <c r="D74" s="3" t="s">
        <v>217</v>
      </c>
      <c r="E74" s="11"/>
      <c r="G74" s="5">
        <v>7</v>
      </c>
      <c r="H74" s="5">
        <v>8</v>
      </c>
      <c r="I74" s="5" t="s">
        <v>252</v>
      </c>
    </row>
    <row r="75" spans="1:9" x14ac:dyDescent="0.3">
      <c r="G75" s="5">
        <v>8</v>
      </c>
      <c r="H75" s="5">
        <v>9</v>
      </c>
      <c r="I75" s="5" t="s">
        <v>253</v>
      </c>
    </row>
    <row r="76" spans="1:9" x14ac:dyDescent="0.3">
      <c r="A76" s="3" t="s">
        <v>218</v>
      </c>
    </row>
    <row r="78" spans="1:9" x14ac:dyDescent="0.3">
      <c r="A78" s="3" t="s">
        <v>219</v>
      </c>
      <c r="B78" s="3" t="s">
        <v>220</v>
      </c>
      <c r="D78" s="3" t="s">
        <v>221</v>
      </c>
    </row>
    <row r="79" spans="1:9" x14ac:dyDescent="0.3">
      <c r="A79" s="3" t="s">
        <v>222</v>
      </c>
      <c r="B79" s="3" t="s">
        <v>223</v>
      </c>
      <c r="D79" s="3" t="s">
        <v>224</v>
      </c>
    </row>
    <row r="80" spans="1:9" x14ac:dyDescent="0.3">
      <c r="A80" s="3" t="s">
        <v>225</v>
      </c>
      <c r="B80" s="3" t="s">
        <v>226</v>
      </c>
      <c r="D80" s="3" t="s">
        <v>227</v>
      </c>
    </row>
    <row r="84" spans="1:5" x14ac:dyDescent="0.3">
      <c r="A84" s="6" t="s">
        <v>228</v>
      </c>
    </row>
    <row r="86" spans="1:5" x14ac:dyDescent="0.3">
      <c r="B86" s="3" t="s">
        <v>229</v>
      </c>
      <c r="D86" s="3" t="s">
        <v>230</v>
      </c>
    </row>
    <row r="88" spans="1:5" x14ac:dyDescent="0.3">
      <c r="B88" s="12" t="s">
        <v>104</v>
      </c>
      <c r="C88" s="12"/>
      <c r="E88" s="12"/>
    </row>
    <row r="89" spans="1:5" x14ac:dyDescent="0.3">
      <c r="B89" s="3" t="s">
        <v>105</v>
      </c>
      <c r="D89" s="3">
        <v>5</v>
      </c>
    </row>
    <row r="90" spans="1:5" x14ac:dyDescent="0.3">
      <c r="B90" s="3" t="s">
        <v>106</v>
      </c>
      <c r="D90" s="3">
        <v>5</v>
      </c>
    </row>
    <row r="91" spans="1:5" x14ac:dyDescent="0.3">
      <c r="B91" s="3" t="s">
        <v>107</v>
      </c>
      <c r="D91" s="3">
        <v>5</v>
      </c>
    </row>
    <row r="92" spans="1:5" x14ac:dyDescent="0.3">
      <c r="B92" s="3" t="s">
        <v>108</v>
      </c>
      <c r="D92" s="3">
        <v>5</v>
      </c>
    </row>
    <row r="93" spans="1:5" x14ac:dyDescent="0.3">
      <c r="B93" s="3" t="s">
        <v>109</v>
      </c>
      <c r="D93" s="3">
        <v>5</v>
      </c>
    </row>
    <row r="94" spans="1:5" x14ac:dyDescent="0.3">
      <c r="B94" s="3" t="s">
        <v>110</v>
      </c>
      <c r="D94" s="3">
        <v>5</v>
      </c>
    </row>
    <row r="95" spans="1:5" x14ac:dyDescent="0.3">
      <c r="B95" s="12" t="s">
        <v>111</v>
      </c>
      <c r="C95" s="12"/>
      <c r="E95" s="12"/>
    </row>
    <row r="96" spans="1:5" x14ac:dyDescent="0.3">
      <c r="B96" s="3" t="s">
        <v>112</v>
      </c>
      <c r="D96" s="3">
        <v>5</v>
      </c>
    </row>
    <row r="97" spans="2:5" x14ac:dyDescent="0.3">
      <c r="B97" s="3" t="s">
        <v>113</v>
      </c>
      <c r="D97" s="3">
        <v>10</v>
      </c>
    </row>
    <row r="99" spans="2:5" x14ac:dyDescent="0.3">
      <c r="B99" s="12" t="s">
        <v>114</v>
      </c>
      <c r="C99" s="12"/>
      <c r="E99" s="12"/>
    </row>
    <row r="100" spans="2:5" x14ac:dyDescent="0.3">
      <c r="B100" s="3" t="s">
        <v>115</v>
      </c>
      <c r="D100" s="3">
        <v>5</v>
      </c>
    </row>
    <row r="101" spans="2:5" x14ac:dyDescent="0.3">
      <c r="B101" s="3" t="s">
        <v>231</v>
      </c>
      <c r="D101" s="3">
        <v>5</v>
      </c>
    </row>
    <row r="103" spans="2:5" x14ac:dyDescent="0.3">
      <c r="B103" s="15" t="s">
        <v>116</v>
      </c>
      <c r="C103" s="15"/>
      <c r="E103" s="15"/>
    </row>
    <row r="104" spans="2:5" x14ac:dyDescent="0.3">
      <c r="B104" s="3" t="s">
        <v>117</v>
      </c>
      <c r="D104" s="3">
        <v>5</v>
      </c>
    </row>
    <row r="105" spans="2:5" x14ac:dyDescent="0.3">
      <c r="B105" s="3" t="s">
        <v>118</v>
      </c>
      <c r="D105" s="3">
        <v>7</v>
      </c>
    </row>
    <row r="106" spans="2:5" x14ac:dyDescent="0.3">
      <c r="B106" s="3" t="s">
        <v>232</v>
      </c>
      <c r="D106" s="3">
        <v>3</v>
      </c>
    </row>
    <row r="108" spans="2:5" x14ac:dyDescent="0.3">
      <c r="B108" s="3" t="s">
        <v>119</v>
      </c>
      <c r="D108" s="3">
        <v>10</v>
      </c>
    </row>
    <row r="109" spans="2:5" ht="28.8" x14ac:dyDescent="0.3">
      <c r="B109" s="4" t="s">
        <v>120</v>
      </c>
      <c r="C109" s="4"/>
      <c r="D109" s="3">
        <v>10</v>
      </c>
      <c r="E109" s="4"/>
    </row>
    <row r="110" spans="2:5" x14ac:dyDescent="0.3">
      <c r="B110" s="3" t="s">
        <v>122</v>
      </c>
      <c r="D110" s="3">
        <v>10</v>
      </c>
    </row>
    <row r="111" spans="2:5" x14ac:dyDescent="0.3">
      <c r="B111" s="7" t="s">
        <v>233</v>
      </c>
      <c r="C111" s="7"/>
      <c r="D111" s="3">
        <f>SUM(D89:D110)</f>
        <v>100</v>
      </c>
      <c r="E111" s="7"/>
    </row>
    <row r="115" spans="2:10" x14ac:dyDescent="0.3">
      <c r="B115" s="69" t="s">
        <v>122</v>
      </c>
      <c r="C115" s="70" t="s">
        <v>241</v>
      </c>
      <c r="F115" s="73" t="s">
        <v>122</v>
      </c>
      <c r="G115" s="73" t="s">
        <v>241</v>
      </c>
      <c r="H115" s="5"/>
      <c r="I115" s="5"/>
      <c r="J115" s="5"/>
    </row>
    <row r="116" spans="2:10" x14ac:dyDescent="0.3">
      <c r="B116" s="67" t="s">
        <v>234</v>
      </c>
      <c r="C116" s="68">
        <v>8</v>
      </c>
      <c r="F116" s="3" t="str">
        <f>data!B4</f>
        <v>INDIA</v>
      </c>
      <c r="G116" s="3">
        <f>DGET(Table4[#All],Table4[[#Headers],[risk]],F115:F116)</f>
        <v>6</v>
      </c>
    </row>
    <row r="117" spans="2:10" x14ac:dyDescent="0.3">
      <c r="B117" s="67" t="s">
        <v>235</v>
      </c>
      <c r="C117" s="68">
        <v>7</v>
      </c>
    </row>
    <row r="118" spans="2:10" x14ac:dyDescent="0.3">
      <c r="B118" s="67" t="s">
        <v>236</v>
      </c>
      <c r="C118" s="68">
        <v>8</v>
      </c>
    </row>
    <row r="119" spans="2:10" x14ac:dyDescent="0.3">
      <c r="B119" s="67" t="s">
        <v>237</v>
      </c>
      <c r="C119" s="68">
        <v>9</v>
      </c>
    </row>
    <row r="120" spans="2:10" x14ac:dyDescent="0.3">
      <c r="B120" s="67" t="s">
        <v>238</v>
      </c>
      <c r="C120" s="68">
        <v>5</v>
      </c>
    </row>
    <row r="121" spans="2:10" x14ac:dyDescent="0.3">
      <c r="B121" s="67" t="s">
        <v>239</v>
      </c>
      <c r="C121" s="68">
        <v>6</v>
      </c>
    </row>
    <row r="122" spans="2:10" x14ac:dyDescent="0.3">
      <c r="B122" s="71" t="s">
        <v>240</v>
      </c>
      <c r="C122" s="72">
        <v>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47766-96CA-465E-9AFB-7EB17AFB11DD}">
  <sheetPr codeName="Sheet6"/>
  <dimension ref="A1:I35"/>
  <sheetViews>
    <sheetView topLeftCell="A10" workbookViewId="0">
      <selection activeCell="K29" sqref="K29"/>
    </sheetView>
  </sheetViews>
  <sheetFormatPr defaultRowHeight="14.4" x14ac:dyDescent="0.3"/>
  <cols>
    <col min="1" max="1" width="54.33203125" customWidth="1"/>
    <col min="3" max="3" width="11.88671875" customWidth="1"/>
    <col min="5" max="5" width="11.88671875" customWidth="1"/>
    <col min="7" max="7" width="15" customWidth="1"/>
    <col min="8" max="8" width="12.33203125" bestFit="1" customWidth="1"/>
    <col min="9" max="9" width="15" customWidth="1"/>
  </cols>
  <sheetData>
    <row r="1" spans="1:9" s="3" customFormat="1" ht="15.6" customHeight="1" thickBot="1" x14ac:dyDescent="0.35">
      <c r="C1" s="78" t="s">
        <v>261</v>
      </c>
      <c r="E1" s="78" t="s">
        <v>246</v>
      </c>
      <c r="G1" s="78" t="s">
        <v>247</v>
      </c>
      <c r="I1" s="78" t="s">
        <v>242</v>
      </c>
    </row>
    <row r="2" spans="1:9" ht="15.6" x14ac:dyDescent="0.3">
      <c r="A2" s="76" t="s">
        <v>104</v>
      </c>
    </row>
    <row r="3" spans="1:9" x14ac:dyDescent="0.3">
      <c r="A3" s="77" t="s">
        <v>105</v>
      </c>
      <c r="B3" s="88">
        <f>IF(function!C36="POSITIVE",function!C41,function!C41*0.5)</f>
        <v>0.39692283829091646</v>
      </c>
      <c r="C3" s="9">
        <f ca="1">IF(function!C46="Y",projection!B3,projection!B3*0.4)</f>
        <v>0.15876913531636661</v>
      </c>
      <c r="E3" s="72">
        <f ca="1">_xlfn.IFS(AND(C3&gt;master!F18,C3&lt;=master!F17),master!E17,AND(C3&gt;master!F19,C3&lt;=master!F18),master!E18,AND(C3&gt;master!F20,C3&lt;=master!F19),master!E19,AND(C3&gt;master!F21,C3&lt;=master!F20),master!E20,AND(C3&gt;master!F22,C3&lt;=master!F21),master!E21,AND(C3&gt;master!F23,C3&lt;=master!F22),master!E22,AND(C3&gt;master!F24,C3&lt;=master!F23),master!E23,AND(C3&gt;master!F25,C3&lt;=master!F24),master!E24,AND(C3&gt;master!F26,C3&lt;=master!F25),master!E25,C3&lt;=master!F26,master!E26)</f>
        <v>10</v>
      </c>
      <c r="F3" s="90"/>
      <c r="G3" s="90">
        <v>5</v>
      </c>
      <c r="H3" s="90"/>
      <c r="I3" s="71">
        <f ca="1">E3*G3</f>
        <v>50</v>
      </c>
    </row>
    <row r="4" spans="1:9" x14ac:dyDescent="0.3">
      <c r="A4" s="77" t="s">
        <v>106</v>
      </c>
      <c r="C4" s="9">
        <f>function!C13</f>
        <v>1.1259551678351121</v>
      </c>
      <c r="E4" s="81">
        <f>_xlfn.IFS(AND(C4&gt;master!G18,C4&lt;=master!G17),master!E17,AND(C4&gt;master!G19,C4&lt;=master!G18),master!E18,AND(C4&gt;master!G20,C4&lt;=master!G19),master!E19,AND(C4&gt;master!G21,C4&lt;=master!G20),master!E20,AND(C4&gt;master!G22,C4&lt;=master!G21),master!E21,AND(C4&gt;master!G23,C4&lt;=master!G22),master!E22,AND(C4&gt;master!G24,C4&lt;=master!G23),master!E23,AND(C4&gt;master!G25,C4&lt;=master!G24),master!E24,AND(C4&gt;master!G26,C4&lt;=master!G25),master!E25,C4&lt;=master!G26,master!E26)</f>
        <v>7</v>
      </c>
      <c r="F4" s="19"/>
      <c r="G4" s="19">
        <v>5</v>
      </c>
      <c r="H4" s="19"/>
      <c r="I4" s="82">
        <f t="shared" ref="I4:I24" si="0">E4*G4</f>
        <v>35</v>
      </c>
    </row>
    <row r="5" spans="1:9" x14ac:dyDescent="0.3">
      <c r="A5" s="77" t="s">
        <v>107</v>
      </c>
      <c r="C5" s="79">
        <f>function!C43</f>
        <v>-0.59316911580005027</v>
      </c>
      <c r="E5" s="81">
        <f>_xlfn.IFS(AND(function!C43&lt;0,function!D43&lt;0),master!A64,AND(function!C43&gt;0,function!D43&gt;0),master!A60,function!C43&gt;0,master!A61,function!C43&lt;0,master!A63,function!C43=0,master!A62,AND(function!C4&gt;0,function!D43&gt;0,function!E43&gt;0),master!A59,AND(function!C43&lt;0,function!D43&lt;0,function!E43&lt;0),master!A65)</f>
        <v>7</v>
      </c>
      <c r="F5" s="19"/>
      <c r="G5" s="19">
        <v>5</v>
      </c>
      <c r="H5" s="19"/>
      <c r="I5" s="82">
        <f t="shared" si="0"/>
        <v>35</v>
      </c>
    </row>
    <row r="6" spans="1:9" x14ac:dyDescent="0.3">
      <c r="A6" s="77" t="s">
        <v>108</v>
      </c>
      <c r="C6" s="80">
        <f>function!C44</f>
        <v>-0.33354861010042208</v>
      </c>
      <c r="E6" s="81">
        <f>_xlfn.IFS(C6&gt;=master!F5,master!E5,AND(C6&gt;master!F7,C6&lt;=master!F6),master!E6,AND(C6&gt;master!F8,C6&lt;=master!F7),master!E7,AND(C6&gt;master!F9,C6&lt;=master!F8),master!E8,AND(C6&gt;master!F10,C6&lt;=master!F9),master!E9,AND(C6&gt;master!F11,C6&lt;=master!F10),master!E10,AND(C6&gt;master!F12,C6&lt;=master!F11),master!E11,AND(C6&gt;master!F13,C6&lt;=master!F12),master!E12,AND(C6&gt;master!F14,C6&lt;=master!F13),master!E13,C6&lt;+master!F14,master!E14)</f>
        <v>8</v>
      </c>
      <c r="F6" s="19"/>
      <c r="G6" s="19">
        <v>5</v>
      </c>
      <c r="H6" s="19"/>
      <c r="I6" s="82">
        <f t="shared" si="0"/>
        <v>40</v>
      </c>
    </row>
    <row r="7" spans="1:9" x14ac:dyDescent="0.3">
      <c r="A7" s="77" t="s">
        <v>109</v>
      </c>
      <c r="C7" s="9">
        <f>function!C21</f>
        <v>0.85366850698931052</v>
      </c>
      <c r="E7" s="81">
        <f>_xlfn.IFS(C7&lt;=master!H17,master!E17,AND(C7&lt;=master!H18,C7&gt;master!H17),master!E18,AND(C7&lt;=master!H19,C7&gt;master!H18),master!E19,AND(C7&lt;=master!H20,C7&gt;master!H19),master!E20,AND(C7&lt;=master!H21,C7&gt;master!H20),master!E21,AND(C7&lt;=master!H22,C7&gt;master!H21),master!E22,AND(C7&lt;=master!H23,C7&gt;master!H24),master!E23,AND(C7&lt;=master!H24,C7&gt;master!H25),master!E24,AND(C7&lt;=master!H25,C7&gt;master!H26),master!E25,C7&lt;=master!H26,master!E26)</f>
        <v>4</v>
      </c>
      <c r="F7" s="19"/>
      <c r="G7" s="19">
        <v>5</v>
      </c>
      <c r="H7" s="19"/>
      <c r="I7" s="82">
        <f t="shared" si="0"/>
        <v>20</v>
      </c>
    </row>
    <row r="8" spans="1:9" x14ac:dyDescent="0.3">
      <c r="A8" s="77" t="s">
        <v>110</v>
      </c>
      <c r="C8" s="7" t="str">
        <f ca="1">function!C46</f>
        <v>N</v>
      </c>
      <c r="E8" s="81">
        <f ca="1">_xlfn.IFS(C8=master!G5,master!H5,C8=master!G12,master!H12)</f>
        <v>8</v>
      </c>
      <c r="F8" s="19"/>
      <c r="G8" s="19">
        <v>5</v>
      </c>
      <c r="H8" s="19"/>
      <c r="I8" s="82">
        <f t="shared" ca="1" si="0"/>
        <v>40</v>
      </c>
    </row>
    <row r="9" spans="1:9" s="3" customFormat="1" ht="15" thickBot="1" x14ac:dyDescent="0.35">
      <c r="E9" s="81"/>
      <c r="F9" s="19"/>
      <c r="G9" s="19"/>
      <c r="H9" s="19"/>
      <c r="I9" s="82"/>
    </row>
    <row r="10" spans="1:9" ht="15.6" x14ac:dyDescent="0.3">
      <c r="A10" s="76" t="s">
        <v>111</v>
      </c>
      <c r="E10" s="81"/>
      <c r="F10" s="19"/>
      <c r="G10" s="19"/>
      <c r="H10" s="19"/>
      <c r="I10" s="82"/>
    </row>
    <row r="11" spans="1:9" s="54" customFormat="1" x14ac:dyDescent="0.3">
      <c r="A11" s="96" t="s">
        <v>112</v>
      </c>
      <c r="E11" s="99"/>
      <c r="F11" s="20"/>
      <c r="G11" s="20">
        <v>5</v>
      </c>
      <c r="H11" s="20"/>
      <c r="I11" s="98">
        <f t="shared" si="0"/>
        <v>0</v>
      </c>
    </row>
    <row r="12" spans="1:9" s="54" customFormat="1" x14ac:dyDescent="0.3">
      <c r="A12" s="96" t="s">
        <v>113</v>
      </c>
      <c r="E12" s="97">
        <f>_xlfn.IFS(data!B7=master!B18,master!A18,data!B7=master!B24,master!A24,data!B7=master!B25,master!A25,data!B7=master!B26,master!A26,data!B7=master!B27,master!A27)</f>
        <v>1</v>
      </c>
      <c r="F12" s="20"/>
      <c r="G12" s="20">
        <v>10</v>
      </c>
      <c r="H12" s="20"/>
      <c r="I12" s="98">
        <f t="shared" si="0"/>
        <v>10</v>
      </c>
    </row>
    <row r="13" spans="1:9" ht="15" thickBot="1" x14ac:dyDescent="0.35">
      <c r="A13" s="3"/>
      <c r="E13" s="81"/>
      <c r="F13" s="19"/>
      <c r="G13" s="19"/>
      <c r="H13" s="19"/>
      <c r="I13" s="82"/>
    </row>
    <row r="14" spans="1:9" ht="15.6" x14ac:dyDescent="0.3">
      <c r="A14" s="76" t="s">
        <v>114</v>
      </c>
      <c r="E14" s="81"/>
      <c r="F14" s="19"/>
      <c r="G14" s="19"/>
      <c r="H14" s="19"/>
      <c r="I14" s="82"/>
    </row>
    <row r="15" spans="1:9" s="54" customFormat="1" x14ac:dyDescent="0.3">
      <c r="A15" s="100" t="s">
        <v>231</v>
      </c>
      <c r="C15" s="108">
        <f>data!B10/1000000</f>
        <v>1.992</v>
      </c>
      <c r="E15" s="97">
        <f>_xlfn.IFS(C15&gt;master!G31,master!A31,AND(C15&gt;master!G32,C15&lt;=master!G31),master!A32,AND(C15&gt;master!G33,C15&lt;=master!G32),master!A33,AND(C15&gt;master!G34,C15&lt;=master!G33),master!A34,AND(C15&gt;master!G35,C15&lt;=master!G34),master!A35,AND(C15&gt;master!G36,C15&lt;=master!G35),master!A36,AND(C15&gt;master!G37,C15&lt;=master!G36),master!A37,AND(C15&gt;master!G38,C15&lt;=master!G37),master!A38,AND(C15&gt;=master!G39,C15&lt;=master!G38),master!A39,C15&lt;master!G39,master!A40)</f>
        <v>7</v>
      </c>
      <c r="F15" s="20"/>
      <c r="G15" s="20">
        <v>5</v>
      </c>
      <c r="H15" s="20"/>
      <c r="I15" s="98">
        <f t="shared" si="0"/>
        <v>35</v>
      </c>
    </row>
    <row r="16" spans="1:9" x14ac:dyDescent="0.3">
      <c r="A16" s="77" t="s">
        <v>115</v>
      </c>
      <c r="C16" s="109">
        <f ca="1">function!C53</f>
        <v>26.701369863013699</v>
      </c>
      <c r="E16" s="81">
        <f ca="1">_xlfn.IFS(C16&lt;1,master!A37,AND(C16&gt;=1,C16&lt;3),master!A36,AND(C16&gt;=3,C16&lt;5),master!A35,AND(C16&gt;=5,C16&lt;10),master!A34,AND(C16&gt;=10,C16&lt;25),master!A33,AND(C16&gt;=25,C16&lt;50),master!A32,C16&gt;=50,master!A31)</f>
        <v>2</v>
      </c>
      <c r="F16" s="19"/>
      <c r="G16" s="19">
        <v>5</v>
      </c>
      <c r="H16" s="19"/>
      <c r="I16" s="82">
        <f t="shared" ca="1" si="0"/>
        <v>10</v>
      </c>
    </row>
    <row r="17" spans="1:9" s="3" customFormat="1" ht="15" thickBot="1" x14ac:dyDescent="0.35">
      <c r="E17" s="81"/>
      <c r="F17" s="19"/>
      <c r="G17" s="19"/>
      <c r="H17" s="19"/>
      <c r="I17" s="82"/>
    </row>
    <row r="18" spans="1:9" ht="15.6" x14ac:dyDescent="0.3">
      <c r="A18" s="76" t="s">
        <v>116</v>
      </c>
      <c r="E18" s="81"/>
      <c r="F18" s="19"/>
      <c r="G18" s="19"/>
      <c r="H18" s="19"/>
      <c r="I18" s="82"/>
    </row>
    <row r="19" spans="1:9" ht="15" thickBot="1" x14ac:dyDescent="0.35">
      <c r="A19" s="77" t="s">
        <v>117</v>
      </c>
      <c r="C19" s="109">
        <f ca="1">function!C56</f>
        <v>7.3835616438356162</v>
      </c>
      <c r="E19" s="81">
        <f ca="1">_xlfn.IFS(C19&lt;1,master!A36,AND(C19&gt;=1,C19&lt;=3),master!A35,AND(C19&gt;3,C19&lt;=5),master!A34,AND(C19&gt;5,C19&lt;=7),master!A33,AND(C19&gt;7,C19&lt;=10),master!A32,C19&gt;10,master!A31)</f>
        <v>2</v>
      </c>
      <c r="F19" s="19"/>
      <c r="G19" s="19">
        <v>5</v>
      </c>
      <c r="H19" s="19"/>
      <c r="I19" s="82">
        <f t="shared" ca="1" si="0"/>
        <v>10</v>
      </c>
    </row>
    <row r="20" spans="1:9" s="54" customFormat="1" ht="15" thickBot="1" x14ac:dyDescent="0.35">
      <c r="A20" s="96" t="s">
        <v>118</v>
      </c>
      <c r="C20" s="106">
        <v>5</v>
      </c>
      <c r="D20" s="101" t="str">
        <f>_xlfn.IFS(AND(C20&gt;master!G75,C20&lt;=master!H75),master!I75,AND(C20&gt;master!G74,C20&lt;=master!H74),master!I74,AND(C20&gt;master!G73,C20&lt;=master!I73),master!I73,AND(C20&gt;=master!G71,C20&lt;=master!G73),master!I71,AND(C20&gt;=1,C20&lt;master!H70),master!I70)</f>
        <v>Risk</v>
      </c>
      <c r="E20" s="102"/>
      <c r="F20" s="20"/>
      <c r="G20" s="20">
        <v>7</v>
      </c>
      <c r="H20" s="20"/>
      <c r="I20" s="98">
        <f t="shared" si="0"/>
        <v>0</v>
      </c>
    </row>
    <row r="21" spans="1:9" s="3" customFormat="1" x14ac:dyDescent="0.3">
      <c r="A21" s="77" t="s">
        <v>110</v>
      </c>
      <c r="E21" s="81">
        <f ca="1">IF(function!C46="N",master!H12,master!H5)</f>
        <v>8</v>
      </c>
      <c r="F21" s="19"/>
      <c r="G21" s="19">
        <v>3</v>
      </c>
      <c r="H21" s="19"/>
      <c r="I21" s="82">
        <f t="shared" ca="1" si="0"/>
        <v>24</v>
      </c>
    </row>
    <row r="22" spans="1:9" x14ac:dyDescent="0.3">
      <c r="A22" s="77" t="s">
        <v>119</v>
      </c>
      <c r="C22" t="str">
        <f>data!B12</f>
        <v>Ship Building</v>
      </c>
      <c r="E22" s="81">
        <f>_xlfn.IFS(C22=master!B44,master!A44,C22=master!B45,master!A45,C22=master!B46,master!A46,C22=master!B47,master!A47,C22=master!B48,master!A48,C22=master!B49,master!A49,C22=master!B50,master!A50,C22=master!B51,master!A51,C22=master!B52,master!A52,C22=master!B53,master!A53,C22=master!B54,master!A54,C22=master!B55,master!A55)</f>
        <v>7</v>
      </c>
      <c r="F22" s="19"/>
      <c r="G22" s="19">
        <v>10</v>
      </c>
      <c r="H22" s="19"/>
      <c r="I22" s="82">
        <f t="shared" si="0"/>
        <v>70</v>
      </c>
    </row>
    <row r="23" spans="1:9" s="54" customFormat="1" x14ac:dyDescent="0.3">
      <c r="A23" s="96" t="s">
        <v>120</v>
      </c>
      <c r="E23" s="99"/>
      <c r="F23" s="20"/>
      <c r="G23" s="20">
        <v>10</v>
      </c>
      <c r="H23" s="20"/>
      <c r="I23" s="98">
        <f t="shared" si="0"/>
        <v>0</v>
      </c>
    </row>
    <row r="24" spans="1:9" ht="15" thickBot="1" x14ac:dyDescent="0.35">
      <c r="A24" s="77" t="s">
        <v>122</v>
      </c>
      <c r="E24" s="81">
        <f>master!G116</f>
        <v>6</v>
      </c>
      <c r="F24" s="19"/>
      <c r="G24" s="19">
        <v>10</v>
      </c>
      <c r="H24" s="19"/>
      <c r="I24" s="82">
        <f t="shared" si="0"/>
        <v>60</v>
      </c>
    </row>
    <row r="25" spans="1:9" ht="15" thickBot="1" x14ac:dyDescent="0.35">
      <c r="A25" s="3"/>
      <c r="E25" s="94" t="s">
        <v>233</v>
      </c>
      <c r="F25" s="91"/>
      <c r="G25" s="91">
        <f>SUM(G3:G24)</f>
        <v>100</v>
      </c>
      <c r="H25" s="91"/>
      <c r="I25" s="95">
        <f ca="1">SUM(I3:I24)/100</f>
        <v>4.3899999999999997</v>
      </c>
    </row>
    <row r="26" spans="1:9" ht="16.2" thickBot="1" x14ac:dyDescent="0.35">
      <c r="A26" s="75" t="s">
        <v>123</v>
      </c>
    </row>
    <row r="27" spans="1:9" ht="15" thickBot="1" x14ac:dyDescent="0.35">
      <c r="A27" s="77" t="s">
        <v>124</v>
      </c>
      <c r="E27" s="84">
        <f>function!C64</f>
        <v>0.5</v>
      </c>
      <c r="G27" s="111">
        <f>function!C3*projection!E27</f>
        <v>3694750</v>
      </c>
    </row>
    <row r="28" spans="1:9" ht="15" thickBot="1" x14ac:dyDescent="0.35">
      <c r="A28" s="77" t="s">
        <v>125</v>
      </c>
      <c r="E28" s="84">
        <f ca="1">function!C65</f>
        <v>1</v>
      </c>
      <c r="G28" s="111">
        <f ca="1">G27*E28</f>
        <v>3694750</v>
      </c>
      <c r="H28" s="111">
        <f ca="1">G28/3.67</f>
        <v>1006743.8692098092</v>
      </c>
    </row>
    <row r="29" spans="1:9" ht="15" thickBot="1" x14ac:dyDescent="0.35">
      <c r="A29" s="77" t="s">
        <v>126</v>
      </c>
      <c r="E29" s="89">
        <f ca="1">function!C66</f>
        <v>3.5645030582514906E-2</v>
      </c>
      <c r="G29" s="112">
        <f ca="1">E29</f>
        <v>3.5645030582514906E-2</v>
      </c>
    </row>
    <row r="30" spans="1:9" ht="15" thickBot="1" x14ac:dyDescent="0.35"/>
    <row r="31" spans="1:9" ht="16.2" thickBot="1" x14ac:dyDescent="0.35">
      <c r="A31" s="75" t="s">
        <v>127</v>
      </c>
      <c r="E31" s="103" t="str">
        <f>_xlfn.IFS(function!C30&lt;1.23,"In Distress",AND(function!C30&gt;=1.23,function!C30&lt;2.9),"Caution Zone",function!C30&gt;=2.9,"Safe Position")</f>
        <v>In Distress</v>
      </c>
    </row>
    <row r="33" spans="1:5" ht="15" thickBot="1" x14ac:dyDescent="0.35"/>
    <row r="34" spans="1:5" ht="16.2" thickBot="1" x14ac:dyDescent="0.35">
      <c r="A34" s="75" t="s">
        <v>101</v>
      </c>
      <c r="E34" s="103" t="str">
        <f>function!C36</f>
        <v>NEGATIVE</v>
      </c>
    </row>
    <row r="35" spans="1:5" x14ac:dyDescent="0.3">
      <c r="A35" s="110"/>
    </row>
  </sheetData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43D225-E7CA-45D6-B0C1-8016FB1C11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Guide</vt:lpstr>
      <vt:lpstr>data</vt:lpstr>
      <vt:lpstr>function</vt:lpstr>
      <vt:lpstr>master</vt:lpstr>
      <vt:lpstr>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Anirudh Anand</dc:creator>
  <cp:lastModifiedBy>Anirudh Anand</cp:lastModifiedBy>
  <dcterms:created xsi:type="dcterms:W3CDTF">2022-05-05T14:26:46Z</dcterms:created>
  <dcterms:modified xsi:type="dcterms:W3CDTF">2022-05-19T03:25:59Z</dcterms:modified>
</cp:coreProperties>
</file>